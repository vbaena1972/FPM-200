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2.xml" ContentType="application/vnd.openxmlformats-officedocument.drawing+xml"/>
  <Override PartName="/xl/ink/ink4.xml" ContentType="application/inkml+xml"/>
  <Override PartName="/xl/ink/ink5.xml" ContentType="application/inkml+xml"/>
  <Override PartName="/xl/ink/ink6.xml" ContentType="application/inkml+xml"/>
  <Override PartName="/xl/drawings/drawing3.xml" ContentType="application/vnd.openxmlformats-officedocument.drawing+xml"/>
  <Override PartName="/xl/ink/ink7.xml" ContentType="application/inkml+xml"/>
  <Override PartName="/xl/ink/ink8.xml" ContentType="application/inkml+xml"/>
  <Override PartName="/xl/ink/ink9.xml" ContentType="application/inkml+xml"/>
  <Override PartName="/xl/drawings/drawing4.xml" ContentType="application/vnd.openxmlformats-officedocument.drawing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afada0c465e763/Desktop/"/>
    </mc:Choice>
  </mc:AlternateContent>
  <xr:revisionPtr revIDLastSave="526" documentId="8_{04E832A2-E15B-4EB2-99DD-3F31BA576230}" xr6:coauthVersionLast="47" xr6:coauthVersionMax="47" xr10:uidLastSave="{D8D181CF-609F-4062-82CD-59765E6F3CD9}"/>
  <bookViews>
    <workbookView xWindow="-120" yWindow="-120" windowWidth="29040" windowHeight="15720" activeTab="3" xr2:uid="{97E283D8-D66E-4C7E-B512-409B14E0762A}"/>
  </bookViews>
  <sheets>
    <sheet name="GrainMoisture" sheetId="6" r:id="rId1"/>
    <sheet name="FlowPressureMonitor" sheetId="5" r:id="rId2"/>
    <sheet name="SensorHumTemp" sheetId="3" r:id="rId3"/>
    <sheet name="4a20mA_Monitor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27" i="1"/>
  <c r="I19" i="1"/>
  <c r="I21" i="1" s="1"/>
  <c r="I22" i="1" s="1"/>
  <c r="I23" i="1" s="1"/>
  <c r="I24" i="1" s="1"/>
  <c r="I56" i="1"/>
  <c r="I63" i="1" s="1"/>
  <c r="I57" i="1"/>
  <c r="I58" i="1"/>
  <c r="I59" i="1"/>
  <c r="I60" i="1"/>
  <c r="I61" i="1"/>
  <c r="I62" i="1"/>
  <c r="I66" i="1"/>
  <c r="I11" i="1"/>
  <c r="I15" i="1"/>
  <c r="I16" i="1" s="1"/>
  <c r="I17" i="1" s="1"/>
  <c r="I18" i="1" s="1"/>
  <c r="I8" i="1"/>
  <c r="I9" i="1" s="1"/>
  <c r="I103" i="6"/>
  <c r="H103" i="6"/>
  <c r="C91" i="6"/>
  <c r="F91" i="6" s="1"/>
  <c r="F90" i="6"/>
  <c r="C90" i="6"/>
  <c r="C89" i="6"/>
  <c r="F89" i="6" s="1"/>
  <c r="C88" i="6"/>
  <c r="F88" i="6" s="1"/>
  <c r="F87" i="6"/>
  <c r="C87" i="6"/>
  <c r="C83" i="6"/>
  <c r="C82" i="6"/>
  <c r="F82" i="6" s="1"/>
  <c r="F81" i="6"/>
  <c r="C81" i="6"/>
  <c r="F80" i="6"/>
  <c r="C80" i="6"/>
  <c r="C79" i="6"/>
  <c r="F79" i="6" s="1"/>
  <c r="J66" i="6"/>
  <c r="I66" i="6"/>
  <c r="H66" i="6"/>
  <c r="I63" i="6"/>
  <c r="J62" i="6"/>
  <c r="I62" i="6"/>
  <c r="H62" i="6"/>
  <c r="J61" i="6"/>
  <c r="I61" i="6"/>
  <c r="H61" i="6"/>
  <c r="J60" i="6"/>
  <c r="I60" i="6"/>
  <c r="H60" i="6"/>
  <c r="J59" i="6"/>
  <c r="I59" i="6"/>
  <c r="H59" i="6"/>
  <c r="H63" i="6" s="1"/>
  <c r="J58" i="6"/>
  <c r="I58" i="6"/>
  <c r="H58" i="6"/>
  <c r="J57" i="6"/>
  <c r="I57" i="6"/>
  <c r="H57" i="6"/>
  <c r="J56" i="6"/>
  <c r="I56" i="6"/>
  <c r="H56" i="6"/>
  <c r="K35" i="6"/>
  <c r="K36" i="6" s="1"/>
  <c r="F35" i="6"/>
  <c r="H27" i="6"/>
  <c r="H28" i="6" s="1"/>
  <c r="J26" i="6"/>
  <c r="I26" i="6"/>
  <c r="J25" i="6"/>
  <c r="I25" i="6"/>
  <c r="I27" i="6" s="1"/>
  <c r="J21" i="6"/>
  <c r="I21" i="6"/>
  <c r="H21" i="6"/>
  <c r="J16" i="6"/>
  <c r="J15" i="6"/>
  <c r="I15" i="6"/>
  <c r="H13" i="6"/>
  <c r="H12" i="6"/>
  <c r="J8" i="6"/>
  <c r="J9" i="6" s="1"/>
  <c r="I8" i="6"/>
  <c r="I9" i="6" s="1"/>
  <c r="I10" i="6" s="1"/>
  <c r="I11" i="6" s="1"/>
  <c r="H8" i="6"/>
  <c r="K25" i="1"/>
  <c r="J25" i="1"/>
  <c r="K19" i="1"/>
  <c r="K21" i="1" s="1"/>
  <c r="K22" i="1" s="1"/>
  <c r="J19" i="1"/>
  <c r="J21" i="1" s="1"/>
  <c r="J22" i="1" s="1"/>
  <c r="J26" i="5"/>
  <c r="J29" i="5" s="1"/>
  <c r="I26" i="5"/>
  <c r="J25" i="5"/>
  <c r="I25" i="5"/>
  <c r="I103" i="5"/>
  <c r="H103" i="5"/>
  <c r="C91" i="5"/>
  <c r="F91" i="5" s="1"/>
  <c r="C90" i="5"/>
  <c r="F90" i="5" s="1"/>
  <c r="F89" i="5"/>
  <c r="C89" i="5"/>
  <c r="C88" i="5"/>
  <c r="F88" i="5" s="1"/>
  <c r="C87" i="5"/>
  <c r="F87" i="5" s="1"/>
  <c r="F83" i="5"/>
  <c r="C83" i="5"/>
  <c r="C82" i="5"/>
  <c r="C81" i="5"/>
  <c r="F81" i="5" s="1"/>
  <c r="F80" i="5"/>
  <c r="C80" i="5"/>
  <c r="C79" i="5"/>
  <c r="F79" i="5" s="1"/>
  <c r="J66" i="5"/>
  <c r="I66" i="5"/>
  <c r="H66" i="5"/>
  <c r="J62" i="5"/>
  <c r="I62" i="5"/>
  <c r="H62" i="5"/>
  <c r="J61" i="5"/>
  <c r="I61" i="5"/>
  <c r="H61" i="5"/>
  <c r="J60" i="5"/>
  <c r="I60" i="5"/>
  <c r="H60" i="5"/>
  <c r="J59" i="5"/>
  <c r="I59" i="5"/>
  <c r="H59" i="5"/>
  <c r="J58" i="5"/>
  <c r="I58" i="5"/>
  <c r="H58" i="5"/>
  <c r="J57" i="5"/>
  <c r="I57" i="5"/>
  <c r="H57" i="5"/>
  <c r="H63" i="5" s="1"/>
  <c r="J56" i="5"/>
  <c r="I56" i="5"/>
  <c r="H56" i="5"/>
  <c r="K36" i="5"/>
  <c r="K35" i="5"/>
  <c r="F35" i="5"/>
  <c r="J27" i="5"/>
  <c r="J28" i="5" s="1"/>
  <c r="I27" i="5"/>
  <c r="H27" i="5"/>
  <c r="I22" i="5"/>
  <c r="I23" i="5" s="1"/>
  <c r="I24" i="5" s="1"/>
  <c r="H22" i="5"/>
  <c r="H23" i="5" s="1"/>
  <c r="H24" i="5" s="1"/>
  <c r="J21" i="5"/>
  <c r="I21" i="5"/>
  <c r="H21" i="5"/>
  <c r="I16" i="5"/>
  <c r="I17" i="5" s="1"/>
  <c r="J15" i="5"/>
  <c r="I15" i="5"/>
  <c r="H13" i="5"/>
  <c r="H12" i="5" s="1"/>
  <c r="H10" i="5"/>
  <c r="H11" i="5" s="1"/>
  <c r="J9" i="5"/>
  <c r="I9" i="5"/>
  <c r="H9" i="5"/>
  <c r="J8" i="5"/>
  <c r="I8" i="5"/>
  <c r="H8" i="5"/>
  <c r="C81" i="3"/>
  <c r="F81" i="3" s="1"/>
  <c r="J59" i="3"/>
  <c r="J25" i="3"/>
  <c r="J27" i="3" s="1"/>
  <c r="J12" i="3"/>
  <c r="J15" i="3" s="1"/>
  <c r="I12" i="3"/>
  <c r="I25" i="3"/>
  <c r="I19" i="3"/>
  <c r="I21" i="3" s="1"/>
  <c r="I22" i="3" s="1"/>
  <c r="I103" i="3"/>
  <c r="H103" i="3"/>
  <c r="H66" i="3"/>
  <c r="H62" i="3"/>
  <c r="H61" i="3"/>
  <c r="H60" i="3"/>
  <c r="H59" i="3"/>
  <c r="H58" i="3"/>
  <c r="H57" i="3"/>
  <c r="H56" i="3"/>
  <c r="K36" i="3"/>
  <c r="K35" i="3"/>
  <c r="F35" i="3"/>
  <c r="H27" i="3"/>
  <c r="H28" i="3" s="1"/>
  <c r="H29" i="3" s="1"/>
  <c r="H30" i="3" s="1"/>
  <c r="I27" i="3"/>
  <c r="H21" i="3"/>
  <c r="I15" i="3"/>
  <c r="H13" i="3"/>
  <c r="J8" i="3"/>
  <c r="I8" i="3"/>
  <c r="I9" i="3" s="1"/>
  <c r="H8" i="3"/>
  <c r="C87" i="1"/>
  <c r="C79" i="1"/>
  <c r="H66" i="1"/>
  <c r="H62" i="1"/>
  <c r="H61" i="1"/>
  <c r="H60" i="1"/>
  <c r="H59" i="1"/>
  <c r="H58" i="1"/>
  <c r="H57" i="1"/>
  <c r="H56" i="1"/>
  <c r="H8" i="1"/>
  <c r="H9" i="1" s="1"/>
  <c r="H27" i="1"/>
  <c r="H28" i="1" s="1"/>
  <c r="H21" i="1"/>
  <c r="H15" i="1"/>
  <c r="J66" i="1"/>
  <c r="J62" i="1"/>
  <c r="J61" i="1"/>
  <c r="J60" i="1"/>
  <c r="J59" i="1"/>
  <c r="J58" i="1"/>
  <c r="J57" i="1"/>
  <c r="J56" i="1"/>
  <c r="K27" i="1"/>
  <c r="K28" i="1" s="1"/>
  <c r="J15" i="1"/>
  <c r="J16" i="1" s="1"/>
  <c r="J8" i="1"/>
  <c r="J9" i="1" s="1"/>
  <c r="I103" i="1"/>
  <c r="K8" i="1"/>
  <c r="K9" i="1" s="1"/>
  <c r="K15" i="1"/>
  <c r="K16" i="1" s="1"/>
  <c r="H103" i="1"/>
  <c r="F35" i="1"/>
  <c r="I28" i="1" l="1"/>
  <c r="I44" i="1"/>
  <c r="I45" i="1" s="1"/>
  <c r="J63" i="6"/>
  <c r="J63" i="5"/>
  <c r="I63" i="5"/>
  <c r="H9" i="6"/>
  <c r="H10" i="6" s="1"/>
  <c r="H11" i="6" s="1"/>
  <c r="I44" i="6"/>
  <c r="I45" i="6" s="1"/>
  <c r="F83" i="6"/>
  <c r="H17" i="6"/>
  <c r="J23" i="6"/>
  <c r="J24" i="6" s="1"/>
  <c r="J22" i="6"/>
  <c r="H15" i="6"/>
  <c r="H44" i="6" s="1"/>
  <c r="H45" i="6" s="1"/>
  <c r="I17" i="6"/>
  <c r="J17" i="6"/>
  <c r="H16" i="6"/>
  <c r="H29" i="6"/>
  <c r="H22" i="6"/>
  <c r="H23" i="6" s="1"/>
  <c r="H24" i="6" s="1"/>
  <c r="I22" i="6"/>
  <c r="J10" i="6"/>
  <c r="J11" i="6" s="1"/>
  <c r="I16" i="6"/>
  <c r="I28" i="6"/>
  <c r="I29" i="6" s="1"/>
  <c r="J27" i="6"/>
  <c r="J44" i="6" s="1"/>
  <c r="J45" i="6" s="1"/>
  <c r="I44" i="5"/>
  <c r="I45" i="5" s="1"/>
  <c r="J22" i="5"/>
  <c r="J46" i="5" s="1"/>
  <c r="J47" i="5" s="1"/>
  <c r="J23" i="5"/>
  <c r="J24" i="5" s="1"/>
  <c r="J44" i="5"/>
  <c r="J45" i="5" s="1"/>
  <c r="I10" i="5"/>
  <c r="I11" i="5" s="1"/>
  <c r="J30" i="5"/>
  <c r="H15" i="5"/>
  <c r="H44" i="5" s="1"/>
  <c r="H45" i="5" s="1"/>
  <c r="H16" i="5"/>
  <c r="H17" i="5"/>
  <c r="I29" i="5"/>
  <c r="I32" i="5" s="1"/>
  <c r="J16" i="5"/>
  <c r="J17" i="5"/>
  <c r="I18" i="5"/>
  <c r="H28" i="5"/>
  <c r="H29" i="5" s="1"/>
  <c r="J10" i="5"/>
  <c r="J11" i="5" s="1"/>
  <c r="I28" i="5"/>
  <c r="I46" i="5" s="1"/>
  <c r="I47" i="5" s="1"/>
  <c r="F82" i="5"/>
  <c r="J19" i="3"/>
  <c r="J21" i="3" s="1"/>
  <c r="J22" i="3" s="1"/>
  <c r="J23" i="3" s="1"/>
  <c r="J24" i="3" s="1"/>
  <c r="C88" i="3"/>
  <c r="F88" i="3" s="1"/>
  <c r="I56" i="3"/>
  <c r="C91" i="3"/>
  <c r="F91" i="3" s="1"/>
  <c r="J62" i="3"/>
  <c r="I66" i="3"/>
  <c r="I58" i="3"/>
  <c r="J66" i="3"/>
  <c r="C82" i="3"/>
  <c r="F82" i="3" s="1"/>
  <c r="I60" i="3"/>
  <c r="J60" i="3"/>
  <c r="C89" i="3"/>
  <c r="F89" i="3" s="1"/>
  <c r="J61" i="3"/>
  <c r="J56" i="3"/>
  <c r="I62" i="3"/>
  <c r="I57" i="3"/>
  <c r="J57" i="3"/>
  <c r="J58" i="3"/>
  <c r="C80" i="3"/>
  <c r="F80" i="3" s="1"/>
  <c r="C83" i="3"/>
  <c r="F83" i="3" s="1"/>
  <c r="C87" i="3"/>
  <c r="F87" i="3" s="1"/>
  <c r="I61" i="3"/>
  <c r="C90" i="3"/>
  <c r="F90" i="3" s="1"/>
  <c r="C79" i="3"/>
  <c r="F79" i="3" s="1"/>
  <c r="I59" i="3"/>
  <c r="H63" i="3"/>
  <c r="I17" i="3"/>
  <c r="I16" i="3"/>
  <c r="I23" i="3"/>
  <c r="I24" i="3" s="1"/>
  <c r="I10" i="3"/>
  <c r="I11" i="3" s="1"/>
  <c r="H22" i="3"/>
  <c r="H23" i="3" s="1"/>
  <c r="H24" i="3" s="1"/>
  <c r="I44" i="3"/>
  <c r="I45" i="3" s="1"/>
  <c r="I28" i="3"/>
  <c r="I29" i="3" s="1"/>
  <c r="I46" i="3"/>
  <c r="I47" i="3" s="1"/>
  <c r="J28" i="3"/>
  <c r="J29" i="3" s="1"/>
  <c r="J44" i="3"/>
  <c r="J45" i="3" s="1"/>
  <c r="H15" i="3"/>
  <c r="H16" i="3" s="1"/>
  <c r="J16" i="3"/>
  <c r="J17" i="3" s="1"/>
  <c r="J9" i="3"/>
  <c r="J10" i="3" s="1"/>
  <c r="J11" i="3" s="1"/>
  <c r="I18" i="3"/>
  <c r="H9" i="3"/>
  <c r="H10" i="3" s="1"/>
  <c r="H11" i="3" s="1"/>
  <c r="F87" i="1"/>
  <c r="F79" i="1"/>
  <c r="H63" i="1"/>
  <c r="K29" i="1"/>
  <c r="K30" i="1" s="1"/>
  <c r="H29" i="1"/>
  <c r="H30" i="1" s="1"/>
  <c r="K46" i="1"/>
  <c r="K47" i="1" s="1"/>
  <c r="J23" i="1"/>
  <c r="J24" i="1" s="1"/>
  <c r="K23" i="1"/>
  <c r="K24" i="1" s="1"/>
  <c r="K44" i="1"/>
  <c r="K45" i="1" s="1"/>
  <c r="H11" i="1"/>
  <c r="H44" i="1"/>
  <c r="H45" i="1" s="1"/>
  <c r="J63" i="1"/>
  <c r="J17" i="1"/>
  <c r="J18" i="1" s="1"/>
  <c r="H22" i="1"/>
  <c r="H23" i="1" s="1"/>
  <c r="H24" i="1" s="1"/>
  <c r="H16" i="1"/>
  <c r="J27" i="1"/>
  <c r="J10" i="1"/>
  <c r="J11" i="1" s="1"/>
  <c r="K17" i="1"/>
  <c r="K18" i="1" s="1"/>
  <c r="K10" i="1"/>
  <c r="K11" i="1" s="1"/>
  <c r="I46" i="1" l="1"/>
  <c r="I47" i="1" s="1"/>
  <c r="I29" i="1"/>
  <c r="J63" i="3"/>
  <c r="I63" i="3"/>
  <c r="J28" i="6"/>
  <c r="J46" i="6" s="1"/>
  <c r="J47" i="6" s="1"/>
  <c r="I46" i="6"/>
  <c r="I47" i="6" s="1"/>
  <c r="J29" i="6"/>
  <c r="J32" i="6" s="1"/>
  <c r="H18" i="6"/>
  <c r="H32" i="6"/>
  <c r="H46" i="6"/>
  <c r="H47" i="6" s="1"/>
  <c r="I18" i="6"/>
  <c r="H31" i="6"/>
  <c r="H30" i="6"/>
  <c r="I23" i="6"/>
  <c r="I24" i="6" s="1"/>
  <c r="J18" i="6"/>
  <c r="I31" i="6"/>
  <c r="I30" i="6"/>
  <c r="H30" i="5"/>
  <c r="H31" i="5"/>
  <c r="J31" i="5"/>
  <c r="I33" i="5"/>
  <c r="I36" i="5" s="1"/>
  <c r="I37" i="5" s="1"/>
  <c r="J18" i="5"/>
  <c r="J32" i="5"/>
  <c r="I30" i="5"/>
  <c r="I31" i="5"/>
  <c r="H32" i="5"/>
  <c r="H18" i="5"/>
  <c r="H46" i="5"/>
  <c r="H47" i="5" s="1"/>
  <c r="H44" i="3"/>
  <c r="H45" i="3" s="1"/>
  <c r="I31" i="3"/>
  <c r="I30" i="3"/>
  <c r="I32" i="3"/>
  <c r="J31" i="3"/>
  <c r="J30" i="3"/>
  <c r="J32" i="3"/>
  <c r="J18" i="3"/>
  <c r="H46" i="3"/>
  <c r="H47" i="3" s="1"/>
  <c r="H17" i="3"/>
  <c r="J46" i="3"/>
  <c r="J47" i="3" s="1"/>
  <c r="J28" i="1"/>
  <c r="J29" i="1" s="1"/>
  <c r="J30" i="1" s="1"/>
  <c r="J44" i="1"/>
  <c r="J45" i="1" s="1"/>
  <c r="H17" i="1"/>
  <c r="H18" i="1" s="1"/>
  <c r="H46" i="1"/>
  <c r="H47" i="1" s="1"/>
  <c r="K31" i="1"/>
  <c r="K32" i="1"/>
  <c r="I31" i="1" l="1"/>
  <c r="I32" i="1"/>
  <c r="I30" i="1"/>
  <c r="J30" i="6"/>
  <c r="J31" i="6"/>
  <c r="J33" i="6"/>
  <c r="J36" i="6" s="1"/>
  <c r="J37" i="6" s="1"/>
  <c r="I32" i="6"/>
  <c r="H33" i="6"/>
  <c r="H36" i="6" s="1"/>
  <c r="H37" i="6" s="1"/>
  <c r="H33" i="5"/>
  <c r="H36" i="5" s="1"/>
  <c r="H37" i="5" s="1"/>
  <c r="J33" i="5"/>
  <c r="J36" i="5" s="1"/>
  <c r="J37" i="5" s="1"/>
  <c r="I38" i="5"/>
  <c r="H32" i="3"/>
  <c r="H18" i="3"/>
  <c r="H31" i="3"/>
  <c r="J33" i="3"/>
  <c r="J36" i="3" s="1"/>
  <c r="J37" i="3" s="1"/>
  <c r="I33" i="3"/>
  <c r="I36" i="3" s="1"/>
  <c r="I37" i="3" s="1"/>
  <c r="J46" i="1"/>
  <c r="J47" i="1" s="1"/>
  <c r="H32" i="1"/>
  <c r="H33" i="1" s="1"/>
  <c r="H31" i="1"/>
  <c r="K33" i="1"/>
  <c r="I33" i="1" l="1"/>
  <c r="H38" i="6"/>
  <c r="I33" i="6"/>
  <c r="I36" i="6" s="1"/>
  <c r="I37" i="6" s="1"/>
  <c r="J38" i="6"/>
  <c r="J38" i="5"/>
  <c r="H38" i="5"/>
  <c r="I39" i="5"/>
  <c r="I41" i="5"/>
  <c r="I49" i="5"/>
  <c r="I50" i="5" s="1"/>
  <c r="I38" i="3"/>
  <c r="J38" i="3"/>
  <c r="H33" i="3"/>
  <c r="H36" i="3" s="1"/>
  <c r="H37" i="3" s="1"/>
  <c r="K38" i="1"/>
  <c r="K39" i="1" s="1"/>
  <c r="K36" i="1"/>
  <c r="K37" i="1" s="1"/>
  <c r="H38" i="1"/>
  <c r="H39" i="1" s="1"/>
  <c r="H36" i="1"/>
  <c r="H37" i="1" s="1"/>
  <c r="J31" i="1"/>
  <c r="J32" i="1"/>
  <c r="J33" i="1" s="1"/>
  <c r="I36" i="1" l="1"/>
  <c r="I37" i="1" s="1"/>
  <c r="I38" i="1"/>
  <c r="I41" i="1" s="1"/>
  <c r="J41" i="6"/>
  <c r="J49" i="6"/>
  <c r="J50" i="6" s="1"/>
  <c r="J39" i="6"/>
  <c r="I38" i="6"/>
  <c r="H39" i="6"/>
  <c r="H49" i="6"/>
  <c r="H50" i="6" s="1"/>
  <c r="H41" i="6"/>
  <c r="H41" i="5"/>
  <c r="H39" i="5"/>
  <c r="H49" i="5"/>
  <c r="H50" i="5" s="1"/>
  <c r="I53" i="5"/>
  <c r="H95" i="5"/>
  <c r="I42" i="5"/>
  <c r="J39" i="5"/>
  <c r="J41" i="5"/>
  <c r="J49" i="5"/>
  <c r="J50" i="5" s="1"/>
  <c r="H38" i="3"/>
  <c r="H39" i="3" s="1"/>
  <c r="J39" i="3"/>
  <c r="J49" i="3"/>
  <c r="J50" i="3" s="1"/>
  <c r="J41" i="3"/>
  <c r="I39" i="3"/>
  <c r="I49" i="3"/>
  <c r="I50" i="3" s="1"/>
  <c r="I41" i="3"/>
  <c r="H49" i="1"/>
  <c r="H50" i="1" s="1"/>
  <c r="H41" i="1"/>
  <c r="K49" i="1"/>
  <c r="K50" i="1" s="1"/>
  <c r="K41" i="1"/>
  <c r="J38" i="1"/>
  <c r="J36" i="1"/>
  <c r="J37" i="1" s="1"/>
  <c r="I39" i="1" l="1"/>
  <c r="I49" i="1"/>
  <c r="I50" i="1" s="1"/>
  <c r="I53" i="1"/>
  <c r="I42" i="1"/>
  <c r="H42" i="6"/>
  <c r="H53" i="6"/>
  <c r="I41" i="6"/>
  <c r="I39" i="6"/>
  <c r="I49" i="6"/>
  <c r="I50" i="6" s="1"/>
  <c r="J42" i="6"/>
  <c r="J53" i="6"/>
  <c r="I95" i="6"/>
  <c r="H42" i="5"/>
  <c r="H53" i="5"/>
  <c r="I95" i="5"/>
  <c r="J53" i="5"/>
  <c r="J42" i="5"/>
  <c r="H117" i="5"/>
  <c r="H121" i="5"/>
  <c r="H113" i="5"/>
  <c r="D83" i="5"/>
  <c r="E83" i="5" s="1"/>
  <c r="G83" i="5" s="1"/>
  <c r="H83" i="5" s="1"/>
  <c r="I83" i="5" s="1"/>
  <c r="K83" i="5" s="1"/>
  <c r="D80" i="5"/>
  <c r="E80" i="5" s="1"/>
  <c r="G80" i="5" s="1"/>
  <c r="H80" i="5" s="1"/>
  <c r="I80" i="5" s="1"/>
  <c r="K80" i="5" s="1"/>
  <c r="I54" i="5"/>
  <c r="I64" i="5" s="1"/>
  <c r="D82" i="5"/>
  <c r="E82" i="5" s="1"/>
  <c r="G82" i="5" s="1"/>
  <c r="H82" i="5" s="1"/>
  <c r="I82" i="5" s="1"/>
  <c r="K82" i="5" s="1"/>
  <c r="I55" i="5"/>
  <c r="D81" i="5"/>
  <c r="E81" i="5" s="1"/>
  <c r="G81" i="5" s="1"/>
  <c r="H81" i="5" s="1"/>
  <c r="I81" i="5" s="1"/>
  <c r="K81" i="5" s="1"/>
  <c r="D79" i="5"/>
  <c r="E79" i="5" s="1"/>
  <c r="G79" i="5" s="1"/>
  <c r="H79" i="5" s="1"/>
  <c r="I79" i="5" s="1"/>
  <c r="K79" i="5" s="1"/>
  <c r="I73" i="5"/>
  <c r="H41" i="3"/>
  <c r="H53" i="3" s="1"/>
  <c r="H49" i="3"/>
  <c r="H50" i="3" s="1"/>
  <c r="J53" i="3"/>
  <c r="I95" i="3"/>
  <c r="J42" i="3"/>
  <c r="I53" i="3"/>
  <c r="H95" i="3"/>
  <c r="I42" i="3"/>
  <c r="H42" i="1"/>
  <c r="H53" i="1"/>
  <c r="K42" i="1"/>
  <c r="K53" i="1"/>
  <c r="D87" i="1" s="1"/>
  <c r="E87" i="1" s="1"/>
  <c r="G87" i="1" s="1"/>
  <c r="H87" i="1" s="1"/>
  <c r="I87" i="1" s="1"/>
  <c r="K87" i="1" s="1"/>
  <c r="I95" i="1"/>
  <c r="J41" i="1"/>
  <c r="J53" i="1" s="1"/>
  <c r="J39" i="1"/>
  <c r="J49" i="1"/>
  <c r="J50" i="1" s="1"/>
  <c r="I73" i="1" l="1"/>
  <c r="I55" i="1"/>
  <c r="I54" i="1"/>
  <c r="I64" i="1" s="1"/>
  <c r="I117" i="6"/>
  <c r="I113" i="6"/>
  <c r="I121" i="6"/>
  <c r="J54" i="6"/>
  <c r="J64" i="6" s="1"/>
  <c r="D91" i="6"/>
  <c r="E91" i="6" s="1"/>
  <c r="G91" i="6" s="1"/>
  <c r="H91" i="6" s="1"/>
  <c r="I91" i="6" s="1"/>
  <c r="K91" i="6" s="1"/>
  <c r="D88" i="6"/>
  <c r="E88" i="6" s="1"/>
  <c r="G88" i="6" s="1"/>
  <c r="H88" i="6" s="1"/>
  <c r="I88" i="6" s="1"/>
  <c r="K88" i="6" s="1"/>
  <c r="D90" i="6"/>
  <c r="E90" i="6" s="1"/>
  <c r="G90" i="6" s="1"/>
  <c r="H90" i="6" s="1"/>
  <c r="I90" i="6" s="1"/>
  <c r="K90" i="6" s="1"/>
  <c r="D89" i="6"/>
  <c r="E89" i="6" s="1"/>
  <c r="G89" i="6" s="1"/>
  <c r="H89" i="6" s="1"/>
  <c r="I89" i="6" s="1"/>
  <c r="K89" i="6" s="1"/>
  <c r="D87" i="6"/>
  <c r="E87" i="6" s="1"/>
  <c r="G87" i="6" s="1"/>
  <c r="H87" i="6" s="1"/>
  <c r="I87" i="6" s="1"/>
  <c r="K87" i="6" s="1"/>
  <c r="J55" i="6"/>
  <c r="J73" i="6"/>
  <c r="J75" i="6" s="1"/>
  <c r="I42" i="6"/>
  <c r="I53" i="6"/>
  <c r="H95" i="6"/>
  <c r="H54" i="6"/>
  <c r="H64" i="6" s="1"/>
  <c r="H55" i="6"/>
  <c r="H73" i="6"/>
  <c r="I65" i="5"/>
  <c r="I67" i="5"/>
  <c r="H127" i="5"/>
  <c r="H133" i="5"/>
  <c r="H140" i="5" s="1"/>
  <c r="H129" i="5"/>
  <c r="H135" i="5"/>
  <c r="H142" i="5" s="1"/>
  <c r="H128" i="5"/>
  <c r="H134" i="5"/>
  <c r="H141" i="5" s="1"/>
  <c r="D89" i="5"/>
  <c r="E89" i="5" s="1"/>
  <c r="G89" i="5" s="1"/>
  <c r="H89" i="5" s="1"/>
  <c r="I89" i="5" s="1"/>
  <c r="K89" i="5" s="1"/>
  <c r="D87" i="5"/>
  <c r="E87" i="5" s="1"/>
  <c r="G87" i="5" s="1"/>
  <c r="H87" i="5" s="1"/>
  <c r="I87" i="5" s="1"/>
  <c r="K87" i="5" s="1"/>
  <c r="J54" i="5"/>
  <c r="J64" i="5" s="1"/>
  <c r="D91" i="5"/>
  <c r="E91" i="5" s="1"/>
  <c r="G91" i="5" s="1"/>
  <c r="H91" i="5" s="1"/>
  <c r="I91" i="5" s="1"/>
  <c r="K91" i="5" s="1"/>
  <c r="J55" i="5"/>
  <c r="D90" i="5"/>
  <c r="E90" i="5" s="1"/>
  <c r="G90" i="5" s="1"/>
  <c r="H90" i="5" s="1"/>
  <c r="I90" i="5" s="1"/>
  <c r="K90" i="5" s="1"/>
  <c r="D88" i="5"/>
  <c r="E88" i="5" s="1"/>
  <c r="G88" i="5" s="1"/>
  <c r="H88" i="5" s="1"/>
  <c r="I88" i="5" s="1"/>
  <c r="K88" i="5" s="1"/>
  <c r="J73" i="5"/>
  <c r="J75" i="5" s="1"/>
  <c r="I117" i="5"/>
  <c r="I113" i="5"/>
  <c r="I121" i="5"/>
  <c r="H55" i="5"/>
  <c r="H54" i="5"/>
  <c r="H64" i="5" s="1"/>
  <c r="H73" i="5"/>
  <c r="H42" i="3"/>
  <c r="H55" i="3"/>
  <c r="H54" i="3"/>
  <c r="H64" i="3" s="1"/>
  <c r="H73" i="3"/>
  <c r="H121" i="3"/>
  <c r="H117" i="3"/>
  <c r="H113" i="3"/>
  <c r="I55" i="3"/>
  <c r="D82" i="3"/>
  <c r="E82" i="3" s="1"/>
  <c r="G82" i="3" s="1"/>
  <c r="H82" i="3" s="1"/>
  <c r="I82" i="3" s="1"/>
  <c r="K82" i="3" s="1"/>
  <c r="D80" i="3"/>
  <c r="E80" i="3" s="1"/>
  <c r="G80" i="3" s="1"/>
  <c r="H80" i="3" s="1"/>
  <c r="I80" i="3" s="1"/>
  <c r="K80" i="3" s="1"/>
  <c r="I54" i="3"/>
  <c r="I64" i="3" s="1"/>
  <c r="D83" i="3"/>
  <c r="E83" i="3" s="1"/>
  <c r="G83" i="3" s="1"/>
  <c r="H83" i="3" s="1"/>
  <c r="I83" i="3" s="1"/>
  <c r="K83" i="3" s="1"/>
  <c r="D81" i="3"/>
  <c r="E81" i="3" s="1"/>
  <c r="G81" i="3" s="1"/>
  <c r="H81" i="3" s="1"/>
  <c r="I81" i="3" s="1"/>
  <c r="K81" i="3" s="1"/>
  <c r="D79" i="3"/>
  <c r="E79" i="3" s="1"/>
  <c r="G79" i="3" s="1"/>
  <c r="H79" i="3" s="1"/>
  <c r="I79" i="3" s="1"/>
  <c r="K79" i="3" s="1"/>
  <c r="I73" i="3"/>
  <c r="I121" i="3"/>
  <c r="I117" i="3"/>
  <c r="I113" i="3"/>
  <c r="D91" i="3"/>
  <c r="E91" i="3" s="1"/>
  <c r="G91" i="3" s="1"/>
  <c r="H91" i="3" s="1"/>
  <c r="I91" i="3" s="1"/>
  <c r="K91" i="3" s="1"/>
  <c r="D89" i="3"/>
  <c r="E89" i="3" s="1"/>
  <c r="G89" i="3" s="1"/>
  <c r="H89" i="3" s="1"/>
  <c r="I89" i="3" s="1"/>
  <c r="K89" i="3" s="1"/>
  <c r="D87" i="3"/>
  <c r="E87" i="3" s="1"/>
  <c r="G87" i="3" s="1"/>
  <c r="H87" i="3" s="1"/>
  <c r="I87" i="3" s="1"/>
  <c r="K87" i="3" s="1"/>
  <c r="J54" i="3"/>
  <c r="J64" i="3" s="1"/>
  <c r="D90" i="3"/>
  <c r="E90" i="3" s="1"/>
  <c r="G90" i="3" s="1"/>
  <c r="H90" i="3" s="1"/>
  <c r="I90" i="3" s="1"/>
  <c r="K90" i="3" s="1"/>
  <c r="D88" i="3"/>
  <c r="E88" i="3" s="1"/>
  <c r="G88" i="3" s="1"/>
  <c r="H88" i="3" s="1"/>
  <c r="I88" i="3" s="1"/>
  <c r="K88" i="3" s="1"/>
  <c r="J55" i="3"/>
  <c r="J73" i="3"/>
  <c r="J75" i="3" s="1"/>
  <c r="D82" i="1"/>
  <c r="D79" i="1"/>
  <c r="E79" i="1" s="1"/>
  <c r="G79" i="1" s="1"/>
  <c r="H79" i="1" s="1"/>
  <c r="I79" i="1" s="1"/>
  <c r="K79" i="1" s="1"/>
  <c r="H55" i="1"/>
  <c r="H73" i="1"/>
  <c r="H54" i="1"/>
  <c r="H64" i="1" s="1"/>
  <c r="D90" i="1"/>
  <c r="D91" i="1"/>
  <c r="D88" i="1"/>
  <c r="D89" i="1"/>
  <c r="I113" i="1"/>
  <c r="I121" i="1"/>
  <c r="I117" i="1"/>
  <c r="H95" i="1"/>
  <c r="H121" i="1" s="1"/>
  <c r="H135" i="1" s="1"/>
  <c r="H142" i="1" s="1"/>
  <c r="J42" i="1"/>
  <c r="D80" i="1"/>
  <c r="D83" i="1"/>
  <c r="D81" i="1"/>
  <c r="J73" i="1"/>
  <c r="J54" i="1"/>
  <c r="J64" i="1" s="1"/>
  <c r="J55" i="1"/>
  <c r="C81" i="1"/>
  <c r="C83" i="1"/>
  <c r="I65" i="1" l="1"/>
  <c r="I67" i="1"/>
  <c r="J65" i="6"/>
  <c r="J67" i="6"/>
  <c r="H65" i="6"/>
  <c r="H67" i="6"/>
  <c r="I135" i="6"/>
  <c r="I142" i="6" s="1"/>
  <c r="I129" i="6"/>
  <c r="H121" i="6"/>
  <c r="H117" i="6"/>
  <c r="H113" i="6"/>
  <c r="I133" i="6"/>
  <c r="I140" i="6" s="1"/>
  <c r="I127" i="6"/>
  <c r="I54" i="6"/>
  <c r="I64" i="6" s="1"/>
  <c r="D82" i="6"/>
  <c r="E82" i="6" s="1"/>
  <c r="G82" i="6" s="1"/>
  <c r="H82" i="6" s="1"/>
  <c r="I82" i="6" s="1"/>
  <c r="K82" i="6" s="1"/>
  <c r="D79" i="6"/>
  <c r="E79" i="6" s="1"/>
  <c r="G79" i="6" s="1"/>
  <c r="H79" i="6" s="1"/>
  <c r="I79" i="6" s="1"/>
  <c r="K79" i="6" s="1"/>
  <c r="I55" i="6"/>
  <c r="D83" i="6"/>
  <c r="E83" i="6" s="1"/>
  <c r="G83" i="6" s="1"/>
  <c r="H83" i="6" s="1"/>
  <c r="I83" i="6" s="1"/>
  <c r="K83" i="6" s="1"/>
  <c r="D80" i="6"/>
  <c r="E80" i="6" s="1"/>
  <c r="G80" i="6" s="1"/>
  <c r="H80" i="6" s="1"/>
  <c r="I80" i="6" s="1"/>
  <c r="K80" i="6" s="1"/>
  <c r="D81" i="6"/>
  <c r="E81" i="6" s="1"/>
  <c r="G81" i="6" s="1"/>
  <c r="H81" i="6" s="1"/>
  <c r="I81" i="6" s="1"/>
  <c r="K81" i="6" s="1"/>
  <c r="I73" i="6"/>
  <c r="I134" i="6"/>
  <c r="I141" i="6" s="1"/>
  <c r="I128" i="6"/>
  <c r="J65" i="5"/>
  <c r="J67" i="5"/>
  <c r="H67" i="5"/>
  <c r="H65" i="5"/>
  <c r="I127" i="5"/>
  <c r="I133" i="5"/>
  <c r="I140" i="5" s="1"/>
  <c r="I128" i="5"/>
  <c r="I134" i="5"/>
  <c r="I141" i="5" s="1"/>
  <c r="I68" i="5"/>
  <c r="I69" i="5"/>
  <c r="I70" i="5" s="1"/>
  <c r="I71" i="5" s="1"/>
  <c r="I129" i="5"/>
  <c r="I135" i="5"/>
  <c r="I142" i="5" s="1"/>
  <c r="I135" i="3"/>
  <c r="I142" i="3" s="1"/>
  <c r="I129" i="3"/>
  <c r="I134" i="3"/>
  <c r="I141" i="3" s="1"/>
  <c r="I128" i="3"/>
  <c r="H135" i="3"/>
  <c r="H142" i="3" s="1"/>
  <c r="H129" i="3"/>
  <c r="H127" i="3"/>
  <c r="H133" i="3"/>
  <c r="H140" i="3" s="1"/>
  <c r="H134" i="3"/>
  <c r="H141" i="3" s="1"/>
  <c r="H128" i="3"/>
  <c r="H65" i="3"/>
  <c r="H67" i="3"/>
  <c r="I65" i="3"/>
  <c r="I67" i="3"/>
  <c r="J65" i="3"/>
  <c r="J67" i="3"/>
  <c r="I127" i="3"/>
  <c r="I133" i="3"/>
  <c r="I140" i="3" s="1"/>
  <c r="H67" i="1"/>
  <c r="H65" i="1"/>
  <c r="I128" i="1"/>
  <c r="I134" i="1"/>
  <c r="I141" i="1" s="1"/>
  <c r="I135" i="1"/>
  <c r="I142" i="1" s="1"/>
  <c r="I129" i="1"/>
  <c r="I127" i="1"/>
  <c r="I133" i="1"/>
  <c r="I140" i="1" s="1"/>
  <c r="H129" i="1"/>
  <c r="H117" i="1"/>
  <c r="H113" i="1"/>
  <c r="J67" i="1"/>
  <c r="J65" i="1"/>
  <c r="C91" i="1"/>
  <c r="C90" i="1"/>
  <c r="C89" i="1"/>
  <c r="C88" i="1"/>
  <c r="C82" i="1"/>
  <c r="C80" i="1"/>
  <c r="E80" i="1" s="1"/>
  <c r="K57" i="1"/>
  <c r="K66" i="1"/>
  <c r="K62" i="1"/>
  <c r="K59" i="1"/>
  <c r="K61" i="1"/>
  <c r="K54" i="1"/>
  <c r="K55" i="1"/>
  <c r="K56" i="1"/>
  <c r="K58" i="1"/>
  <c r="K60" i="1"/>
  <c r="E83" i="1"/>
  <c r="F83" i="1"/>
  <c r="F81" i="1"/>
  <c r="E81" i="1"/>
  <c r="I68" i="1" l="1"/>
  <c r="I69" i="1"/>
  <c r="I70" i="1" s="1"/>
  <c r="I71" i="1" s="1"/>
  <c r="I65" i="6"/>
  <c r="I67" i="6"/>
  <c r="H133" i="6"/>
  <c r="H140" i="6" s="1"/>
  <c r="H127" i="6"/>
  <c r="H135" i="6"/>
  <c r="H142" i="6" s="1"/>
  <c r="H129" i="6"/>
  <c r="H69" i="6"/>
  <c r="H70" i="6" s="1"/>
  <c r="H71" i="6" s="1"/>
  <c r="H68" i="6"/>
  <c r="H134" i="6"/>
  <c r="H141" i="6" s="1"/>
  <c r="H128" i="6"/>
  <c r="J69" i="6"/>
  <c r="J70" i="6" s="1"/>
  <c r="J71" i="6" s="1"/>
  <c r="J68" i="6"/>
  <c r="J68" i="5"/>
  <c r="J69" i="5"/>
  <c r="J70" i="5"/>
  <c r="J71" i="5" s="1"/>
  <c r="H69" i="5"/>
  <c r="H70" i="5" s="1"/>
  <c r="H71" i="5" s="1"/>
  <c r="H68" i="5"/>
  <c r="J69" i="3"/>
  <c r="J70" i="3" s="1"/>
  <c r="J71" i="3" s="1"/>
  <c r="J68" i="3"/>
  <c r="I69" i="3"/>
  <c r="I70" i="3" s="1"/>
  <c r="I71" i="3" s="1"/>
  <c r="I68" i="3"/>
  <c r="H68" i="3"/>
  <c r="H69" i="3"/>
  <c r="H70" i="3" s="1"/>
  <c r="H71" i="3" s="1"/>
  <c r="H69" i="1"/>
  <c r="H70" i="1" s="1"/>
  <c r="H71" i="1" s="1"/>
  <c r="H68" i="1"/>
  <c r="H128" i="1"/>
  <c r="H134" i="1"/>
  <c r="H141" i="1" s="1"/>
  <c r="H133" i="1"/>
  <c r="H140" i="1" s="1"/>
  <c r="H127" i="1"/>
  <c r="J68" i="1"/>
  <c r="J69" i="1"/>
  <c r="J70" i="1" s="1"/>
  <c r="J71" i="1" s="1"/>
  <c r="E89" i="1"/>
  <c r="F89" i="1"/>
  <c r="F91" i="1"/>
  <c r="E91" i="1"/>
  <c r="E90" i="1"/>
  <c r="F90" i="1"/>
  <c r="E88" i="1"/>
  <c r="F88" i="1"/>
  <c r="F82" i="1"/>
  <c r="E82" i="1"/>
  <c r="F80" i="1"/>
  <c r="G80" i="1" s="1"/>
  <c r="H80" i="1" s="1"/>
  <c r="I80" i="1" s="1"/>
  <c r="K80" i="1" s="1"/>
  <c r="K63" i="1"/>
  <c r="K73" i="1" s="1"/>
  <c r="K75" i="1" s="1"/>
  <c r="G81" i="1"/>
  <c r="H81" i="1" s="1"/>
  <c r="I81" i="1" s="1"/>
  <c r="K81" i="1" s="1"/>
  <c r="G83" i="1"/>
  <c r="H83" i="1" s="1"/>
  <c r="I83" i="1" s="1"/>
  <c r="K83" i="1" s="1"/>
  <c r="I69" i="6" l="1"/>
  <c r="I70" i="6" s="1"/>
  <c r="I71" i="6" s="1"/>
  <c r="I68" i="6"/>
  <c r="G82" i="1"/>
  <c r="H82" i="1" s="1"/>
  <c r="I82" i="1" s="1"/>
  <c r="K82" i="1" s="1"/>
  <c r="G91" i="1"/>
  <c r="H91" i="1" s="1"/>
  <c r="I91" i="1" s="1"/>
  <c r="K91" i="1" s="1"/>
  <c r="G90" i="1"/>
  <c r="H90" i="1" s="1"/>
  <c r="I90" i="1" s="1"/>
  <c r="K90" i="1" s="1"/>
  <c r="G88" i="1"/>
  <c r="H88" i="1" s="1"/>
  <c r="I88" i="1" s="1"/>
  <c r="K88" i="1" s="1"/>
  <c r="G89" i="1"/>
  <c r="H89" i="1" s="1"/>
  <c r="I89" i="1" s="1"/>
  <c r="K89" i="1" s="1"/>
  <c r="K64" i="1"/>
  <c r="K67" i="1" l="1"/>
  <c r="K65" i="1"/>
  <c r="K68" i="1" l="1"/>
  <c r="K69" i="1"/>
  <c r="K70" i="1" s="1"/>
  <c r="K71" i="1" s="1"/>
</calcChain>
</file>

<file path=xl/sharedStrings.xml><?xml version="1.0" encoding="utf-8"?>
<sst xmlns="http://schemas.openxmlformats.org/spreadsheetml/2006/main" count="585" uniqueCount="101">
  <si>
    <t>Valor Dolar</t>
  </si>
  <si>
    <t>Componentes</t>
  </si>
  <si>
    <t>Elementos</t>
  </si>
  <si>
    <t>Transporte</t>
  </si>
  <si>
    <t>Importacion</t>
  </si>
  <si>
    <t>IVA</t>
  </si>
  <si>
    <t>Subtotal</t>
  </si>
  <si>
    <t>PCB</t>
  </si>
  <si>
    <t>Board</t>
  </si>
  <si>
    <t>Stencil</t>
  </si>
  <si>
    <t>Otros</t>
  </si>
  <si>
    <t>Energía</t>
  </si>
  <si>
    <t>Mano de Obra</t>
  </si>
  <si>
    <t>TOTAL</t>
  </si>
  <si>
    <t>Valor Unidad</t>
  </si>
  <si>
    <t>Display</t>
  </si>
  <si>
    <t>4 inch</t>
  </si>
  <si>
    <t>Ventas (P)</t>
  </si>
  <si>
    <t>Costo (COGS)</t>
  </si>
  <si>
    <t>Margen bruto</t>
  </si>
  <si>
    <t>Margen bruto %</t>
  </si>
  <si>
    <t xml:space="preserve">Logística/empaque </t>
  </si>
  <si>
    <t xml:space="preserve">Pasarela/cobranza </t>
  </si>
  <si>
    <t xml:space="preserve">Comisión comercial </t>
  </si>
  <si>
    <t xml:space="preserve">Garantía/soporte </t>
  </si>
  <si>
    <t xml:space="preserve">Devoluciones/mermas </t>
  </si>
  <si>
    <t xml:space="preserve">G&amp;A (admin/ventas) </t>
  </si>
  <si>
    <t xml:space="preserve">I+D amortizado </t>
  </si>
  <si>
    <t>OPEX (Gtos de venta/adm/I+D/otros)</t>
  </si>
  <si>
    <t>EBIT (Operativo)</t>
  </si>
  <si>
    <t>EBIT %</t>
  </si>
  <si>
    <t xml:space="preserve">Gastos financieros (capital de trabajo) </t>
  </si>
  <si>
    <t>EBT (Utilidad) antes de impuestos</t>
  </si>
  <si>
    <t>EBT % sobre ventas</t>
  </si>
  <si>
    <t xml:space="preserve">Impuesto de renta </t>
  </si>
  <si>
    <t>Utilidad Neta</t>
  </si>
  <si>
    <t>Margen neto %</t>
  </si>
  <si>
    <t>Retorno sobre costo (Utilidad neta / COGS):</t>
  </si>
  <si>
    <t>Contribución por unidad</t>
  </si>
  <si>
    <t>Costos fijos</t>
  </si>
  <si>
    <t>Punto de equilibrio (unidades/mes) Break-even operativo</t>
  </si>
  <si>
    <t>Ventas/mes</t>
  </si>
  <si>
    <t>Ventas</t>
  </si>
  <si>
    <t>COGS</t>
  </si>
  <si>
    <t>Margen Bruto</t>
  </si>
  <si>
    <t>OPEX</t>
  </si>
  <si>
    <t>EBIT Operativo</t>
  </si>
  <si>
    <t>EBT antes de impuestos</t>
  </si>
  <si>
    <t>Costos Fijos</t>
  </si>
  <si>
    <t>Ganancia Real</t>
  </si>
  <si>
    <t>1) Define tus variables</t>
  </si>
  <si>
    <t>v = % de costos variables sobre ventas (logística, pasarela, comisión, garantías, devoluciones, G&amp;A variable, I+D).</t>
  </si>
  <si>
    <t>Ejemplo que venimos usando: 27% = 0,27.</t>
  </si>
  <si>
    <t>f = % de financieros sobre ventas. Ej: 2% = 0,02.</t>
  </si>
  <si>
    <t>t = tasa efectiva de impuesto de renta. Ej: 35% = 0,35.</t>
  </si>
  <si>
    <t>F = costos fijos mensuales (nómina, arriendo, etc.).</t>
  </si>
  <si>
    <t>U = volumen mensual esperado (unid/mes).</t>
  </si>
  <si>
    <t>A = F/U = prorrateo de fijos por unidad (si quieres que el precio cubra fijos).</t>
  </si>
  <si>
    <t>m = margen neto objetivo sobre ventas (por ej. 15% ⇒ 0,15), o</t>
  </si>
  <si>
    <t>π = utilidad neta objetivo por unidad en pesos.</t>
  </si>
  <si>
    <t>Todos los cálculos son sin IVA. Si quieres el precio “de vitrina”, al final multiplicas por (1 + IVA).</t>
  </si>
  <si>
    <t>2) Fórmulas clave (EBIT clásico, financieros separados)</t>
  </si>
  <si>
    <t>(a) Precio para un margen neto objetivo m sobre ventas</t>
  </si>
  <si>
    <t>P=(1−t)(C+A)/(1−t)(1−v−f)−m</t>
  </si>
  <si>
    <t>P1</t>
  </si>
  <si>
    <t>(b) Precio para una utilidad neta objetivo π por unidad</t>
  </si>
  <si>
    <t>P=((π/(1−t))+C+A)/(1−v−f)</t>
  </si>
  <si>
    <t>P2</t>
  </si>
  <si>
    <t>(c) Precio mínimo para no perder (neto = 0)</t>
  </si>
  <si>
    <t>Pmin=(C+A)/(1−v−f)</t>
  </si>
  <si>
    <t>Pmin</t>
  </si>
  <si>
    <t>(El impuesto no afecta porque con EBT=0 no hay renta.)</t>
  </si>
  <si>
    <t>La utilidad neta resultante se calcula como:</t>
  </si>
  <si>
    <t>Net=[P*(1−v−f)−(C+A)]*(1−t)</t>
  </si>
  <si>
    <t>Net</t>
  </si>
  <si>
    <t>Si vendes por canal con descuento del distribuidor D, sube tu lista:</t>
  </si>
  <si>
    <t>Plista=P/(1−D)​</t>
  </si>
  <si>
    <t>D</t>
  </si>
  <si>
    <t>Plista-P1</t>
  </si>
  <si>
    <t>Plista-P2</t>
  </si>
  <si>
    <t>Plista-Pmin</t>
  </si>
  <si>
    <t xml:space="preserve">Para “precio al público” agrega IVA: </t>
  </si>
  <si>
    <t>Pcon IVA=P×(1+IVA)</t>
  </si>
  <si>
    <t>PconIVA_Plista-P1</t>
  </si>
  <si>
    <t>PconIVA_Plista-P2</t>
  </si>
  <si>
    <t>PconIVA_Plista-Pmin</t>
  </si>
  <si>
    <t>Valor</t>
  </si>
  <si>
    <t>Caja</t>
  </si>
  <si>
    <t xml:space="preserve">C = Costo de fabricación por unidad </t>
  </si>
  <si>
    <t>CON COSTO DE 100 UNIDADES Y PRECIO PRESUPUESTADO DE 5 UNIDADES</t>
  </si>
  <si>
    <t>US$</t>
  </si>
  <si>
    <t>$</t>
  </si>
  <si>
    <t>Importación</t>
  </si>
  <si>
    <t>Valor Unidad Sin IVA</t>
  </si>
  <si>
    <t>Cantidad</t>
  </si>
  <si>
    <t>Unidad</t>
  </si>
  <si>
    <t>Otros Gastos</t>
  </si>
  <si>
    <t>SUBTOTAL INSUMOS</t>
  </si>
  <si>
    <t>CON COSTO Y PRECIO PRESUPUESTADO DE 50 UNIDADES</t>
  </si>
  <si>
    <t>Cantidades</t>
  </si>
  <si>
    <t>7 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</si>
</sst>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&quot;$&quot;\ * #,##0.0_-;\-&quot;$&quot;\ * #,##0.0_-;_-&quot;$&quot;\ * &quot;-&quot;??_-;_-@_-"/>
    <numFmt numFmtId="165" formatCode="_-&quot;$&quot;\ * #,##0_-;\-&quot;$&quot;\ * #,##0_-;_-&quot;$&quot;\ * &quot;-&quot;??_-;_-@_-"/>
    <numFmt numFmtId="166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2" fillId="2" borderId="0" xfId="0" applyFont="1" applyFill="1"/>
    <xf numFmtId="0" fontId="2" fillId="2" borderId="5" xfId="0" applyFont="1" applyFill="1" applyBorder="1"/>
    <xf numFmtId="44" fontId="2" fillId="2" borderId="5" xfId="1" applyFont="1" applyFill="1" applyBorder="1"/>
    <xf numFmtId="9" fontId="2" fillId="2" borderId="5" xfId="0" applyNumberFormat="1" applyFont="1" applyFill="1" applyBorder="1"/>
    <xf numFmtId="44" fontId="4" fillId="2" borderId="5" xfId="1" applyFont="1" applyFill="1" applyBorder="1"/>
    <xf numFmtId="164" fontId="2" fillId="2" borderId="5" xfId="1" applyNumberFormat="1" applyFont="1" applyFill="1" applyBorder="1"/>
    <xf numFmtId="1" fontId="2" fillId="2" borderId="5" xfId="1" applyNumberFormat="1" applyFont="1" applyFill="1" applyBorder="1" applyAlignment="1">
      <alignment horizontal="center"/>
    </xf>
    <xf numFmtId="44" fontId="5" fillId="2" borderId="5" xfId="1" applyFont="1" applyFill="1" applyBorder="1" applyAlignment="1"/>
    <xf numFmtId="0" fontId="5" fillId="2" borderId="0" xfId="0" applyFont="1" applyFill="1" applyAlignment="1">
      <alignment horizontal="center"/>
    </xf>
    <xf numFmtId="44" fontId="2" fillId="2" borderId="0" xfId="0" applyNumberFormat="1" applyFont="1" applyFill="1"/>
    <xf numFmtId="165" fontId="2" fillId="2" borderId="5" xfId="0" applyNumberFormat="1" applyFont="1" applyFill="1" applyBorder="1"/>
    <xf numFmtId="165" fontId="4" fillId="2" borderId="5" xfId="0" applyNumberFormat="1" applyFont="1" applyFill="1" applyBorder="1"/>
    <xf numFmtId="0" fontId="3" fillId="2" borderId="0" xfId="0" applyFont="1" applyFill="1"/>
    <xf numFmtId="165" fontId="2" fillId="2" borderId="0" xfId="0" applyNumberFormat="1" applyFont="1" applyFill="1"/>
    <xf numFmtId="0" fontId="4" fillId="2" borderId="0" xfId="0" applyFont="1" applyFill="1"/>
    <xf numFmtId="165" fontId="4" fillId="2" borderId="0" xfId="0" applyNumberFormat="1" applyFont="1" applyFill="1"/>
    <xf numFmtId="9" fontId="4" fillId="2" borderId="0" xfId="2" applyFont="1" applyFill="1"/>
    <xf numFmtId="165" fontId="2" fillId="2" borderId="0" xfId="2" applyNumberFormat="1" applyFont="1" applyFill="1"/>
    <xf numFmtId="1" fontId="2" fillId="2" borderId="0" xfId="0" applyNumberFormat="1" applyFont="1" applyFill="1"/>
    <xf numFmtId="0" fontId="3" fillId="2" borderId="6" xfId="0" applyFont="1" applyFill="1" applyBorder="1" applyAlignment="1">
      <alignment horizontal="center" vertical="center"/>
    </xf>
    <xf numFmtId="0" fontId="4" fillId="2" borderId="5" xfId="0" applyFont="1" applyFill="1" applyBorder="1"/>
    <xf numFmtId="9" fontId="4" fillId="2" borderId="5" xfId="2" applyFont="1" applyFill="1" applyBorder="1"/>
    <xf numFmtId="9" fontId="4" fillId="2" borderId="5" xfId="0" applyNumberFormat="1" applyFont="1" applyFill="1" applyBorder="1"/>
    <xf numFmtId="166" fontId="4" fillId="2" borderId="5" xfId="2" applyNumberFormat="1" applyFont="1" applyFill="1" applyBorder="1"/>
    <xf numFmtId="10" fontId="2" fillId="2" borderId="5" xfId="2" applyNumberFormat="1" applyFont="1" applyFill="1" applyBorder="1"/>
    <xf numFmtId="165" fontId="2" fillId="2" borderId="5" xfId="2" applyNumberFormat="1" applyFont="1" applyFill="1" applyBorder="1"/>
    <xf numFmtId="1" fontId="2" fillId="2" borderId="5" xfId="0" applyNumberFormat="1" applyFont="1" applyFill="1" applyBorder="1"/>
    <xf numFmtId="44" fontId="2" fillId="2" borderId="5" xfId="0" applyNumberFormat="1" applyFont="1" applyFill="1" applyBorder="1"/>
    <xf numFmtId="6" fontId="2" fillId="2" borderId="5" xfId="0" applyNumberFormat="1" applyFont="1" applyFill="1" applyBorder="1"/>
    <xf numFmtId="0" fontId="2" fillId="2" borderId="4" xfId="0" applyFont="1" applyFill="1" applyBorder="1"/>
    <xf numFmtId="6" fontId="2" fillId="2" borderId="0" xfId="0" applyNumberFormat="1" applyFont="1" applyFill="1"/>
    <xf numFmtId="0" fontId="4" fillId="2" borderId="5" xfId="0" applyFont="1" applyFill="1" applyBorder="1" applyAlignment="1">
      <alignment horizontal="right"/>
    </xf>
    <xf numFmtId="6" fontId="4" fillId="2" borderId="5" xfId="0" applyNumberFormat="1" applyFont="1" applyFill="1" applyBorder="1"/>
    <xf numFmtId="8" fontId="2" fillId="2" borderId="5" xfId="0" applyNumberFormat="1" applyFont="1" applyFill="1" applyBorder="1"/>
    <xf numFmtId="0" fontId="3" fillId="2" borderId="8" xfId="0" applyFont="1" applyFill="1" applyBorder="1" applyAlignment="1">
      <alignment horizontal="center" vertical="center"/>
    </xf>
    <xf numFmtId="44" fontId="2" fillId="2" borderId="8" xfId="1" applyFont="1" applyFill="1" applyBorder="1"/>
    <xf numFmtId="44" fontId="4" fillId="2" borderId="8" xfId="1" applyFont="1" applyFill="1" applyBorder="1"/>
    <xf numFmtId="44" fontId="5" fillId="2" borderId="8" xfId="1" applyFont="1" applyFill="1" applyBorder="1" applyAlignment="1"/>
    <xf numFmtId="44" fontId="4" fillId="2" borderId="0" xfId="1" applyFont="1" applyFill="1"/>
    <xf numFmtId="0" fontId="5" fillId="2" borderId="5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44" fontId="5" fillId="2" borderId="0" xfId="1" applyFont="1" applyFill="1" applyBorder="1" applyAlignment="1"/>
    <xf numFmtId="0" fontId="5" fillId="2" borderId="5" xfId="0" applyFont="1" applyFill="1" applyBorder="1"/>
    <xf numFmtId="0" fontId="5" fillId="2" borderId="0" xfId="0" applyFont="1" applyFill="1" applyAlignment="1">
      <alignment horizontal="left" vertical="center"/>
    </xf>
    <xf numFmtId="0" fontId="2" fillId="3" borderId="5" xfId="0" applyFont="1" applyFill="1" applyBorder="1"/>
    <xf numFmtId="9" fontId="2" fillId="3" borderId="5" xfId="0" applyNumberFormat="1" applyFont="1" applyFill="1" applyBorder="1"/>
    <xf numFmtId="44" fontId="2" fillId="3" borderId="5" xfId="1" applyFont="1" applyFill="1" applyBorder="1"/>
    <xf numFmtId="0" fontId="2" fillId="4" borderId="5" xfId="0" applyFont="1" applyFill="1" applyBorder="1"/>
    <xf numFmtId="9" fontId="2" fillId="4" borderId="5" xfId="0" applyNumberFormat="1" applyFont="1" applyFill="1" applyBorder="1"/>
    <xf numFmtId="44" fontId="2" fillId="4" borderId="5" xfId="1" applyFont="1" applyFill="1" applyBorder="1"/>
    <xf numFmtId="0" fontId="3" fillId="2" borderId="5" xfId="0" applyFont="1" applyFill="1" applyBorder="1" applyAlignment="1">
      <alignment horizontal="left"/>
    </xf>
    <xf numFmtId="44" fontId="3" fillId="2" borderId="5" xfId="1" applyFont="1" applyFill="1" applyBorder="1" applyAlignment="1"/>
    <xf numFmtId="0" fontId="2" fillId="2" borderId="7" xfId="0" applyFont="1" applyFill="1" applyBorder="1"/>
    <xf numFmtId="44" fontId="2" fillId="2" borderId="7" xfId="1" applyFont="1" applyFill="1" applyBorder="1"/>
    <xf numFmtId="0" fontId="2" fillId="2" borderId="15" xfId="0" applyFont="1" applyFill="1" applyBorder="1" applyAlignment="1">
      <alignment horizontal="left"/>
    </xf>
    <xf numFmtId="44" fontId="2" fillId="2" borderId="15" xfId="1" applyFont="1" applyFill="1" applyBorder="1"/>
    <xf numFmtId="0" fontId="2" fillId="2" borderId="23" xfId="0" applyFont="1" applyFill="1" applyBorder="1"/>
    <xf numFmtId="44" fontId="2" fillId="2" borderId="23" xfId="1" applyFont="1" applyFill="1" applyBorder="1"/>
    <xf numFmtId="44" fontId="4" fillId="2" borderId="15" xfId="1" applyFont="1" applyFill="1" applyBorder="1"/>
    <xf numFmtId="9" fontId="2" fillId="2" borderId="7" xfId="0" applyNumberFormat="1" applyFont="1" applyFill="1" applyBorder="1"/>
    <xf numFmtId="0" fontId="4" fillId="2" borderId="23" xfId="0" applyFont="1" applyFill="1" applyBorder="1" applyAlignment="1">
      <alignment horizontal="center"/>
    </xf>
    <xf numFmtId="44" fontId="4" fillId="2" borderId="23" xfId="1" applyFont="1" applyFill="1" applyBorder="1"/>
    <xf numFmtId="0" fontId="4" fillId="2" borderId="15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44" fontId="5" fillId="2" borderId="2" xfId="1" applyFont="1" applyFill="1" applyBorder="1" applyAlignment="1"/>
    <xf numFmtId="44" fontId="5" fillId="2" borderId="6" xfId="1" applyFont="1" applyFill="1" applyBorder="1" applyAlignment="1"/>
    <xf numFmtId="0" fontId="3" fillId="5" borderId="5" xfId="0" applyFont="1" applyFill="1" applyBorder="1"/>
    <xf numFmtId="165" fontId="3" fillId="5" borderId="5" xfId="0" applyNumberFormat="1" applyFont="1" applyFill="1" applyBorder="1"/>
    <xf numFmtId="0" fontId="2" fillId="5" borderId="5" xfId="0" applyFont="1" applyFill="1" applyBorder="1"/>
    <xf numFmtId="10" fontId="2" fillId="5" borderId="5" xfId="2" applyNumberFormat="1" applyFont="1" applyFill="1" applyBorder="1"/>
    <xf numFmtId="0" fontId="3" fillId="5" borderId="0" xfId="0" applyFont="1" applyFill="1"/>
    <xf numFmtId="0" fontId="2" fillId="5" borderId="0" xfId="0" applyFont="1" applyFill="1"/>
    <xf numFmtId="166" fontId="2" fillId="2" borderId="0" xfId="2" applyNumberFormat="1" applyFont="1" applyFill="1"/>
    <xf numFmtId="0" fontId="4" fillId="2" borderId="6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/>
    </xf>
    <xf numFmtId="0" fontId="4" fillId="5" borderId="5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20" Type="http://schemas.openxmlformats.org/officeDocument/2006/relationships/image" Target="../media/image10.png"/><Relationship Id="rId1" Type="http://schemas.openxmlformats.org/officeDocument/2006/relationships/customXml" Target="../ink/ink1.xml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5.xml"/><Relationship Id="rId2" Type="http://schemas.openxmlformats.org/officeDocument/2006/relationships/image" Target="../media/image1.png"/><Relationship Id="rId20" Type="http://schemas.openxmlformats.org/officeDocument/2006/relationships/image" Target="../media/image10.png"/><Relationship Id="rId1" Type="http://schemas.openxmlformats.org/officeDocument/2006/relationships/customXml" Target="../ink/ink4.xml"/><Relationship Id="rId5" Type="http://schemas.openxmlformats.org/officeDocument/2006/relationships/customXml" Target="../ink/ink6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ustomXml" Target="../ink/ink8.xml"/><Relationship Id="rId2" Type="http://schemas.openxmlformats.org/officeDocument/2006/relationships/image" Target="../media/image1.png"/><Relationship Id="rId20" Type="http://schemas.openxmlformats.org/officeDocument/2006/relationships/image" Target="../media/image10.png"/><Relationship Id="rId1" Type="http://schemas.openxmlformats.org/officeDocument/2006/relationships/customXml" Target="../ink/ink7.xml"/><Relationship Id="rId5" Type="http://schemas.openxmlformats.org/officeDocument/2006/relationships/customXml" Target="../ink/ink9.xml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ustomXml" Target="../ink/ink11.xml"/><Relationship Id="rId21" Type="http://schemas.openxmlformats.org/officeDocument/2006/relationships/customXml" Target="../ink/ink13.xml"/><Relationship Id="rId2" Type="http://schemas.openxmlformats.org/officeDocument/2006/relationships/image" Target="../media/image1.png"/><Relationship Id="rId20" Type="http://schemas.openxmlformats.org/officeDocument/2006/relationships/image" Target="../media/image10.png"/><Relationship Id="rId1" Type="http://schemas.openxmlformats.org/officeDocument/2006/relationships/customXml" Target="../ink/ink10.xml"/><Relationship Id="rId5" Type="http://schemas.openxmlformats.org/officeDocument/2006/relationships/customXml" Target="../ink/ink12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1441256</xdr:colOff>
      <xdr:row>37</xdr:row>
      <xdr:rowOff>109117</xdr:rowOff>
    </xdr:from>
    <xdr:to>
      <xdr:col>7</xdr:col>
      <xdr:colOff>1457096</xdr:colOff>
      <xdr:row>37</xdr:row>
      <xdr:rowOff>124957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CF4BA84-4AC9-463A-957E-89F374B00E91}"/>
                </a:ext>
              </a:extLst>
            </xdr14:cNvPr>
            <xdr14:cNvContentPartPr/>
          </xdr14:nvContentPartPr>
          <xdr14:nvPr macro=""/>
          <xdr14:xfrm>
            <a:off x="9487080" y="7017544"/>
            <a:ext cx="15840" cy="158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1F805E9-423A-2EE9-3DCF-9B76DE6C06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482760" y="7013224"/>
              <a:ext cx="2448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268042</xdr:colOff>
      <xdr:row>37</xdr:row>
      <xdr:rowOff>6877</xdr:rowOff>
    </xdr:from>
    <xdr:to>
      <xdr:col>8</xdr:col>
      <xdr:colOff>268402</xdr:colOff>
      <xdr:row>37</xdr:row>
      <xdr:rowOff>7957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E1423A0-5A8D-44B7-B035-F67AF57C34E2}"/>
                </a:ext>
              </a:extLst>
            </xdr14:cNvPr>
            <xdr14:cNvContentPartPr/>
          </xdr14:nvContentPartPr>
          <xdr14:nvPr macro=""/>
          <xdr14:xfrm>
            <a:off x="10549440" y="6915304"/>
            <a:ext cx="360" cy="10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AE76D5BA-9145-7283-4CE8-9BE878475ED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543320" y="6909184"/>
              <a:ext cx="12600" cy="1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546227</xdr:colOff>
      <xdr:row>56</xdr:row>
      <xdr:rowOff>107548</xdr:rowOff>
    </xdr:from>
    <xdr:to>
      <xdr:col>2</xdr:col>
      <xdr:colOff>876347</xdr:colOff>
      <xdr:row>56</xdr:row>
      <xdr:rowOff>160828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3FAA9124-59AD-4A82-AF62-7F658149745B}"/>
                </a:ext>
              </a:extLst>
            </xdr14:cNvPr>
            <xdr14:cNvContentPartPr/>
          </xdr14:nvContentPartPr>
          <xdr14:nvPr macro=""/>
          <xdr14:xfrm>
            <a:off x="2322360" y="10977254"/>
            <a:ext cx="330120" cy="5328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C7E4F3E3-ABEB-DFD7-6C09-720F60C40192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316240" y="10971134"/>
              <a:ext cx="342360" cy="65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1441256</xdr:colOff>
      <xdr:row>37</xdr:row>
      <xdr:rowOff>109117</xdr:rowOff>
    </xdr:from>
    <xdr:to>
      <xdr:col>7</xdr:col>
      <xdr:colOff>1457096</xdr:colOff>
      <xdr:row>37</xdr:row>
      <xdr:rowOff>124957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EFB04B3-23B3-4AC9-B6D9-03D5CD6AE1BD}"/>
                </a:ext>
              </a:extLst>
            </xdr14:cNvPr>
            <xdr14:cNvContentPartPr/>
          </xdr14:nvContentPartPr>
          <xdr14:nvPr macro=""/>
          <xdr14:xfrm>
            <a:off x="9487080" y="7017544"/>
            <a:ext cx="15840" cy="158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1F805E9-423A-2EE9-3DCF-9B76DE6C06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482760" y="7013224"/>
              <a:ext cx="2448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268042</xdr:colOff>
      <xdr:row>37</xdr:row>
      <xdr:rowOff>6877</xdr:rowOff>
    </xdr:from>
    <xdr:to>
      <xdr:col>8</xdr:col>
      <xdr:colOff>268402</xdr:colOff>
      <xdr:row>37</xdr:row>
      <xdr:rowOff>7957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F6EEC35-7F0E-4403-91B4-2C9EE5B6A374}"/>
                </a:ext>
              </a:extLst>
            </xdr14:cNvPr>
            <xdr14:cNvContentPartPr/>
          </xdr14:nvContentPartPr>
          <xdr14:nvPr macro=""/>
          <xdr14:xfrm>
            <a:off x="10549440" y="6915304"/>
            <a:ext cx="360" cy="10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AE76D5BA-9145-7283-4CE8-9BE878475ED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543320" y="6909184"/>
              <a:ext cx="12600" cy="1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546227</xdr:colOff>
      <xdr:row>56</xdr:row>
      <xdr:rowOff>107548</xdr:rowOff>
    </xdr:from>
    <xdr:to>
      <xdr:col>2</xdr:col>
      <xdr:colOff>876347</xdr:colOff>
      <xdr:row>56</xdr:row>
      <xdr:rowOff>160828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78CAE8CA-EA62-4579-81CC-1F2CBA37AB36}"/>
                </a:ext>
              </a:extLst>
            </xdr14:cNvPr>
            <xdr14:cNvContentPartPr/>
          </xdr14:nvContentPartPr>
          <xdr14:nvPr macro=""/>
          <xdr14:xfrm>
            <a:off x="2322360" y="10977254"/>
            <a:ext cx="330120" cy="5328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C7E4F3E3-ABEB-DFD7-6C09-720F60C40192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316240" y="10971134"/>
              <a:ext cx="342360" cy="65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1441256</xdr:colOff>
      <xdr:row>37</xdr:row>
      <xdr:rowOff>109117</xdr:rowOff>
    </xdr:from>
    <xdr:to>
      <xdr:col>7</xdr:col>
      <xdr:colOff>1457096</xdr:colOff>
      <xdr:row>37</xdr:row>
      <xdr:rowOff>124957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C93ADF2-F5F4-4840-9F62-C7145FD500C1}"/>
                </a:ext>
              </a:extLst>
            </xdr14:cNvPr>
            <xdr14:cNvContentPartPr/>
          </xdr14:nvContentPartPr>
          <xdr14:nvPr macro=""/>
          <xdr14:xfrm>
            <a:off x="9487080" y="7017544"/>
            <a:ext cx="15840" cy="158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1F805E9-423A-2EE9-3DCF-9B76DE6C06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482760" y="7013224"/>
              <a:ext cx="2448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268042</xdr:colOff>
      <xdr:row>37</xdr:row>
      <xdr:rowOff>6877</xdr:rowOff>
    </xdr:from>
    <xdr:to>
      <xdr:col>8</xdr:col>
      <xdr:colOff>268402</xdr:colOff>
      <xdr:row>37</xdr:row>
      <xdr:rowOff>7957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0B99E76-7ADD-4E46-8200-5AD0EBD0357F}"/>
                </a:ext>
              </a:extLst>
            </xdr14:cNvPr>
            <xdr14:cNvContentPartPr/>
          </xdr14:nvContentPartPr>
          <xdr14:nvPr macro=""/>
          <xdr14:xfrm>
            <a:off x="10549440" y="6915304"/>
            <a:ext cx="360" cy="10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AE76D5BA-9145-7283-4CE8-9BE878475ED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543320" y="6909184"/>
              <a:ext cx="12600" cy="1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546227</xdr:colOff>
      <xdr:row>56</xdr:row>
      <xdr:rowOff>107548</xdr:rowOff>
    </xdr:from>
    <xdr:to>
      <xdr:col>2</xdr:col>
      <xdr:colOff>876347</xdr:colOff>
      <xdr:row>56</xdr:row>
      <xdr:rowOff>160828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F68534EE-C7E9-4818-909F-23F6EAC2F05D}"/>
                </a:ext>
              </a:extLst>
            </xdr14:cNvPr>
            <xdr14:cNvContentPartPr/>
          </xdr14:nvContentPartPr>
          <xdr14:nvPr macro=""/>
          <xdr14:xfrm>
            <a:off x="2322360" y="10977254"/>
            <a:ext cx="330120" cy="5328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C7E4F3E3-ABEB-DFD7-6C09-720F60C40192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316240" y="10971134"/>
              <a:ext cx="342360" cy="65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1441256</xdr:colOff>
      <xdr:row>37</xdr:row>
      <xdr:rowOff>109117</xdr:rowOff>
    </xdr:from>
    <xdr:to>
      <xdr:col>7</xdr:col>
      <xdr:colOff>1457096</xdr:colOff>
      <xdr:row>37</xdr:row>
      <xdr:rowOff>124957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01F805E9-423A-2EE9-3DCF-9B76DE6C064F}"/>
                </a:ext>
              </a:extLst>
            </xdr14:cNvPr>
            <xdr14:cNvContentPartPr/>
          </xdr14:nvContentPartPr>
          <xdr14:nvPr macro=""/>
          <xdr14:xfrm>
            <a:off x="9487080" y="7017544"/>
            <a:ext cx="15840" cy="158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1F805E9-423A-2EE9-3DCF-9B76DE6C06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482760" y="7013224"/>
              <a:ext cx="2448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268042</xdr:colOff>
      <xdr:row>37</xdr:row>
      <xdr:rowOff>6877</xdr:rowOff>
    </xdr:from>
    <xdr:to>
      <xdr:col>9</xdr:col>
      <xdr:colOff>268402</xdr:colOff>
      <xdr:row>37</xdr:row>
      <xdr:rowOff>7957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AE76D5BA-9145-7283-4CE8-9BE878475EDD}"/>
                </a:ext>
              </a:extLst>
            </xdr14:cNvPr>
            <xdr14:cNvContentPartPr/>
          </xdr14:nvContentPartPr>
          <xdr14:nvPr macro=""/>
          <xdr14:xfrm>
            <a:off x="10549440" y="6915304"/>
            <a:ext cx="360" cy="10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AE76D5BA-9145-7283-4CE8-9BE878475ED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543320" y="6909184"/>
              <a:ext cx="12600" cy="1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546227</xdr:colOff>
      <xdr:row>56</xdr:row>
      <xdr:rowOff>107548</xdr:rowOff>
    </xdr:from>
    <xdr:to>
      <xdr:col>2</xdr:col>
      <xdr:colOff>876347</xdr:colOff>
      <xdr:row>56</xdr:row>
      <xdr:rowOff>160828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C7E4F3E3-ABEB-DFD7-6C09-720F60C40192}"/>
                </a:ext>
              </a:extLst>
            </xdr14:cNvPr>
            <xdr14:cNvContentPartPr/>
          </xdr14:nvContentPartPr>
          <xdr14:nvPr macro=""/>
          <xdr14:xfrm>
            <a:off x="2322360" y="10977254"/>
            <a:ext cx="330120" cy="5328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C7E4F3E3-ABEB-DFD7-6C09-720F60C40192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316240" y="10971134"/>
              <a:ext cx="342360" cy="655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8</xdr:col>
      <xdr:colOff>1441256</xdr:colOff>
      <xdr:row>37</xdr:row>
      <xdr:rowOff>109117</xdr:rowOff>
    </xdr:from>
    <xdr:ext cx="15840" cy="1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7135D08-E50E-4815-B180-96DF5077C722}"/>
                </a:ext>
              </a:extLst>
            </xdr14:cNvPr>
            <xdr14:cNvContentPartPr/>
          </xdr14:nvContentPartPr>
          <xdr14:nvPr macro=""/>
          <xdr14:xfrm>
            <a:off x="9487080" y="7017544"/>
            <a:ext cx="15840" cy="158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1F805E9-423A-2EE9-3DCF-9B76DE6C06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482760" y="7013224"/>
              <a:ext cx="24480" cy="2448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9T21:21:00.35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1276 214 14047,'0'-2'0,"0"0"0,0 1 0,0-1-672,0 0-128,2 2-736,0-1 1840,-1-2 40,3-1 8,1-2-128,3-1-32,2-1 0,1 3-5232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9T21:21:00.3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0 472 2911,'0'-2'0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9T21:21:00.3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0 148 2911,'2'-6'-20,"0"0"-1,0 0 0,0 1 0,0-1 0,1 1 1,0-1-1,0 1 0,1 0 0,5-6 0,5-5 479,23-19-1,-27 26-421,-8 7 37,0 1 1,-1-1-1,1 1 0,0-1 1,0 1-1,0 0 0,0 0 0,0 0 1,0 0-1,1 0 0,2-1 1,-2 2-6,0 0 0,1 0 0,-1 0 0,0 1 0,0-1 0,0 1 0,0 0 0,3 1 0,12 2 123,0 0 0,1 0 1,-1-2-1,1 0 0,24-2 0,94-15 2065,-53 5-1515,0 4 0,131 6 1,-207 0-786,0 0 0,0 1 0,0-1 1,0 2-1,0-1 0,0 1 0,0 1 0,0-1 1,-1 1-1,1 1 0,7 4 0,-11-2-98,1-1-2097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9T20:20:46.66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1276 214 14047,'0'-2'0,"0"0"0,0 1 0,0-1-672,0 0-128,2 2-736,0-1 1840,-1-2 40,3-1 8,1-2-128,3-1-32,2-1 0,1 3-5232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9T20:20:46.6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0 472 2911,'0'-2'0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9T20:20:46.6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0 148 2911,'2'-6'-20,"0"0"-1,0 0 0,0 1 0,0-1 0,1 1 1,0-1-1,0 1 0,1 0 0,5-6 0,5-5 479,23-19-1,-27 26-421,-8 7 37,0 1 1,-1-1-1,1 1 0,0-1 1,0 1-1,0 0 0,0 0 0,0 0 1,0 0-1,1 0 0,2-1 1,-2 2-6,0 0 0,1 0 0,-1 0 0,0 1 0,0-1 0,0 1 0,0 0 0,3 1 0,12 2 123,0 0 0,1 0 1,-1-2-1,1 0 0,24-2 0,94-15 2065,-53 5-1515,0 4 0,131 6 1,-207 0-786,0 0 0,0 1 0,0-1 1,0 2-1,0-1 0,0 1 0,0 1 0,0-1 1,-1 1-1,1 1 0,7 4 0,-11-2-98,1-1-2097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8T12:21:52.83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1276 214 14047,'0'-2'0,"0"0"0,0 1 0,0-1-672,0 0-128,2 2-736,0-1 1840,-1-2 40,3-1 8,1-2-128,3-1-32,2-1 0,1 3-5232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8T12:21:52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0 472 2911,'0'-2'0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8T12:21:52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0 148 2911,'2'-6'-20,"0"0"-1,0 0 0,0 1 0,0-1 0,1 1 1,0-1-1,0 1 0,1 0 0,5-6 0,5-5 479,23-19-1,-27 26-421,-8 7 37,0 1 1,-1-1-1,1 1 0,0-1 1,0 1-1,0 0 0,0 0 0,0 0 1,0 0-1,1 0 0,2-1 1,-2 2-6,0 0 0,1 0 0,-1 0 0,0 1 0,0-1 0,0 1 0,0 0 0,3 1 0,12 2 123,0 0 0,1 0 1,-1-2-1,1 0 0,24-2 0,94-15 2065,-53 5-1515,0 4 0,131 6 1,-207 0-786,0 0 0,0 1 0,0-1 1,0 2-1,0-1 0,0 1 0,0 1 0,0-1 1,-1 1-1,1 1 0,7 4 0,-11-2-98,1-1-2097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31T16:11:26.21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1276 214 14047,'0'-2'0,"0"0"0,0 1 0,0-1-672,0 0-128,2 2-736,0-1 1840,-1-2 40,3-1 8,1-2-128,3-1-32,2-1 0,1 3-5232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31T16:11:58.5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0 472 2911,'0'-2'0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31T16:13:26.4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0 148 2911,'2'-6'-20,"0"0"-1,0 0 0,0 1 0,0-1 0,1 1 1,0-1-1,0 1 0,1 0 0,5-6 0,5-5 479,23-19-1,-27 26-421,-8 7 37,0 1 1,-1-1-1,1 1 0,0-1 1,0 1-1,0 0 0,0 0 0,0 0 1,0 0-1,1 0 0,2-1 1,-2 2-6,0 0 0,1 0 0,-1 0 0,0 1 0,0-1 0,0 1 0,0 0 0,3 1 0,12 2 123,0 0 0,1 0 1,-1-2-1,1 0 0,24-2 0,94-15 2065,-53 5-1515,0 4 0,131 6 1,-207 0-786,0 0 0,0 1 0,0-1 1,0 2-1,0-1 0,0 1 0,0 1 0,0-1 1,-1 1-1,1 1 0,7 4 0,-11-2-98,1-1-2097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9T18:35:52.25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1276 214 14047,'0'-2'0,"0"0"0,0 1 0,0-1-672,0 0-128,2 2-736,0-1 1840,-1-2 40,3-1 8,1-2-128,3-1-32,2-1 0,1 3-5232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E09F-3225-432E-8EEB-C46F9B25E8EB}">
  <dimension ref="B2:Q142"/>
  <sheetViews>
    <sheetView topLeftCell="A23" zoomScale="55" zoomScaleNormal="55" workbookViewId="0">
      <selection activeCell="J52" sqref="J52"/>
    </sheetView>
  </sheetViews>
  <sheetFormatPr defaultColWidth="9.140625" defaultRowHeight="14.25" x14ac:dyDescent="0.2"/>
  <cols>
    <col min="1" max="1" width="9.140625" style="1"/>
    <col min="2" max="2" width="15.7109375" style="1" bestFit="1" customWidth="1"/>
    <col min="3" max="3" width="17" style="1" bestFit="1" customWidth="1"/>
    <col min="4" max="4" width="15.7109375" style="1" bestFit="1" customWidth="1"/>
    <col min="5" max="5" width="18.85546875" style="1" bestFit="1" customWidth="1"/>
    <col min="6" max="6" width="15.42578125" style="1" bestFit="1" customWidth="1"/>
    <col min="7" max="7" width="20.7109375" style="1" bestFit="1" customWidth="1"/>
    <col min="8" max="8" width="31.28515625" style="1" bestFit="1" customWidth="1"/>
    <col min="9" max="9" width="29.42578125" style="1" bestFit="1" customWidth="1"/>
    <col min="10" max="10" width="25.140625" style="1" bestFit="1" customWidth="1"/>
    <col min="11" max="11" width="18.85546875" style="1" bestFit="1" customWidth="1"/>
    <col min="12" max="12" width="14.7109375" style="1" bestFit="1" customWidth="1"/>
    <col min="13" max="13" width="16" style="1" bestFit="1" customWidth="1"/>
    <col min="14" max="14" width="14.7109375" style="1" bestFit="1" customWidth="1"/>
    <col min="15" max="15" width="16" style="1" bestFit="1" customWidth="1"/>
    <col min="16" max="16" width="24.5703125" style="1" bestFit="1" customWidth="1"/>
    <col min="17" max="17" width="14.7109375" style="1" bestFit="1" customWidth="1"/>
    <col min="18" max="18" width="12.85546875" style="1" bestFit="1" customWidth="1"/>
    <col min="19" max="19" width="15.140625" style="1" bestFit="1" customWidth="1"/>
    <col min="20" max="20" width="19.5703125" style="1" bestFit="1" customWidth="1"/>
    <col min="21" max="21" width="22" style="1" bestFit="1" customWidth="1"/>
    <col min="22" max="23" width="19.5703125" style="1" bestFit="1" customWidth="1"/>
    <col min="24" max="24" width="22" style="1" bestFit="1" customWidth="1"/>
    <col min="25" max="16384" width="9.140625" style="1"/>
  </cols>
  <sheetData>
    <row r="2" spans="2:16" ht="15.75" x14ac:dyDescent="0.25">
      <c r="B2" s="21" t="s">
        <v>0</v>
      </c>
      <c r="C2" s="5">
        <v>4150</v>
      </c>
      <c r="H2" s="78"/>
      <c r="I2" s="78"/>
      <c r="J2" s="78"/>
      <c r="K2" s="78"/>
      <c r="L2" s="78"/>
      <c r="M2" s="78"/>
      <c r="N2" s="78"/>
      <c r="O2" s="78"/>
      <c r="P2" s="78"/>
    </row>
    <row r="3" spans="2:16" ht="18" x14ac:dyDescent="0.25">
      <c r="E3" s="9"/>
      <c r="F3" s="9"/>
      <c r="G3" s="9"/>
    </row>
    <row r="4" spans="2:16" ht="15.75" x14ac:dyDescent="0.2">
      <c r="H4" s="80"/>
      <c r="I4" s="81"/>
      <c r="J4" s="82"/>
    </row>
    <row r="5" spans="2:16" ht="15.75" x14ac:dyDescent="0.2">
      <c r="H5" s="20">
        <v>1</v>
      </c>
      <c r="I5" s="20">
        <v>10</v>
      </c>
      <c r="J5" s="20">
        <v>25</v>
      </c>
      <c r="K5" s="35"/>
    </row>
    <row r="6" spans="2:16" ht="14.25" customHeight="1" x14ac:dyDescent="0.2">
      <c r="B6" s="90" t="s">
        <v>1</v>
      </c>
      <c r="C6" s="91"/>
      <c r="D6" s="91"/>
      <c r="E6" s="92"/>
      <c r="F6" s="2" t="s">
        <v>2</v>
      </c>
      <c r="G6" s="2"/>
      <c r="H6" s="3">
        <v>150</v>
      </c>
      <c r="I6" s="3">
        <v>1150</v>
      </c>
      <c r="J6" s="3">
        <v>2650</v>
      </c>
      <c r="K6" s="36"/>
      <c r="L6" s="74"/>
      <c r="M6" s="10"/>
      <c r="N6" s="10"/>
    </row>
    <row r="7" spans="2:16" ht="14.25" customHeight="1" x14ac:dyDescent="0.2">
      <c r="B7" s="93"/>
      <c r="C7" s="94"/>
      <c r="D7" s="94"/>
      <c r="E7" s="95"/>
      <c r="F7" s="2" t="s">
        <v>3</v>
      </c>
      <c r="G7" s="3">
        <v>100</v>
      </c>
      <c r="H7" s="3">
        <v>10</v>
      </c>
      <c r="I7" s="3">
        <v>100</v>
      </c>
      <c r="J7" s="3">
        <v>100</v>
      </c>
      <c r="K7" s="36"/>
    </row>
    <row r="8" spans="2:16" ht="14.25" customHeight="1" x14ac:dyDescent="0.2">
      <c r="B8" s="93"/>
      <c r="C8" s="94"/>
      <c r="D8" s="94"/>
      <c r="E8" s="95"/>
      <c r="F8" s="48" t="s">
        <v>4</v>
      </c>
      <c r="G8" s="49">
        <v>0.1</v>
      </c>
      <c r="H8" s="50">
        <f>SUM(H6:H7)*$G$8</f>
        <v>16</v>
      </c>
      <c r="I8" s="50">
        <f>SUM(I6:I7)*$G$8</f>
        <v>125</v>
      </c>
      <c r="J8" s="50">
        <f>SUM(J6:J7)*$G$8</f>
        <v>275</v>
      </c>
      <c r="K8" s="36"/>
    </row>
    <row r="9" spans="2:16" ht="14.25" customHeight="1" x14ac:dyDescent="0.2">
      <c r="B9" s="93"/>
      <c r="C9" s="94"/>
      <c r="D9" s="94"/>
      <c r="E9" s="95"/>
      <c r="F9" s="45" t="s">
        <v>5</v>
      </c>
      <c r="G9" s="46">
        <v>0.19</v>
      </c>
      <c r="H9" s="47">
        <f>SUM(H6:H8)*$G$9</f>
        <v>33.44</v>
      </c>
      <c r="I9" s="47">
        <f>SUM(I6:I8)*$G$9</f>
        <v>261.25</v>
      </c>
      <c r="J9" s="47">
        <f>SUM(J6:J8)*$G$9</f>
        <v>574.75</v>
      </c>
      <c r="K9" s="36"/>
    </row>
    <row r="10" spans="2:16" ht="15" customHeight="1" x14ac:dyDescent="0.25">
      <c r="B10" s="93"/>
      <c r="C10" s="94"/>
      <c r="D10" s="94"/>
      <c r="E10" s="95"/>
      <c r="F10" s="75" t="s">
        <v>6</v>
      </c>
      <c r="G10" s="21" t="s">
        <v>94</v>
      </c>
      <c r="H10" s="5">
        <f>SUM(H6:H9)</f>
        <v>209.44</v>
      </c>
      <c r="I10" s="5">
        <f>SUM(I6:I9)</f>
        <v>1636.25</v>
      </c>
      <c r="J10" s="5">
        <f>SUM(J6:J9)</f>
        <v>3599.75</v>
      </c>
      <c r="K10" s="37"/>
    </row>
    <row r="11" spans="2:16" ht="15" customHeight="1" thickBot="1" x14ac:dyDescent="0.3">
      <c r="B11" s="96"/>
      <c r="C11" s="97"/>
      <c r="D11" s="97"/>
      <c r="E11" s="98"/>
      <c r="F11" s="76"/>
      <c r="G11" s="55" t="s">
        <v>95</v>
      </c>
      <c r="H11" s="56">
        <f>H10/H5</f>
        <v>209.44</v>
      </c>
      <c r="I11" s="56">
        <f>I10/I5</f>
        <v>163.625</v>
      </c>
      <c r="J11" s="56">
        <f>J10/J5</f>
        <v>143.99</v>
      </c>
      <c r="K11" s="37"/>
    </row>
    <row r="12" spans="2:16" ht="14.25" customHeight="1" thickTop="1" x14ac:dyDescent="0.2">
      <c r="B12" s="99" t="s">
        <v>7</v>
      </c>
      <c r="C12" s="100"/>
      <c r="D12" s="100"/>
      <c r="E12" s="101"/>
      <c r="F12" s="57" t="s">
        <v>8</v>
      </c>
      <c r="G12" s="57"/>
      <c r="H12" s="58">
        <f>(65-H13)/5</f>
        <v>9.6</v>
      </c>
      <c r="I12" s="58">
        <v>172</v>
      </c>
      <c r="J12" s="58">
        <v>314</v>
      </c>
      <c r="K12" s="36"/>
    </row>
    <row r="13" spans="2:16" ht="14.25" customHeight="1" x14ac:dyDescent="0.2">
      <c r="B13" s="93"/>
      <c r="C13" s="94"/>
      <c r="D13" s="94"/>
      <c r="E13" s="95"/>
      <c r="F13" s="2" t="s">
        <v>9</v>
      </c>
      <c r="G13" s="2"/>
      <c r="H13" s="3">
        <f>7+5+5</f>
        <v>17</v>
      </c>
      <c r="I13" s="3">
        <v>17</v>
      </c>
      <c r="J13" s="3">
        <v>17</v>
      </c>
      <c r="K13" s="36"/>
    </row>
    <row r="14" spans="2:16" ht="14.25" customHeight="1" x14ac:dyDescent="0.2">
      <c r="B14" s="93"/>
      <c r="C14" s="94"/>
      <c r="D14" s="94"/>
      <c r="E14" s="95"/>
      <c r="F14" s="2" t="s">
        <v>3</v>
      </c>
      <c r="G14" s="2"/>
      <c r="H14" s="3">
        <v>50</v>
      </c>
      <c r="I14" s="3">
        <v>120</v>
      </c>
      <c r="J14" s="3">
        <v>170</v>
      </c>
      <c r="K14" s="36"/>
    </row>
    <row r="15" spans="2:16" ht="14.25" customHeight="1" x14ac:dyDescent="0.2">
      <c r="B15" s="93"/>
      <c r="C15" s="94"/>
      <c r="D15" s="94"/>
      <c r="E15" s="95"/>
      <c r="F15" s="48" t="s">
        <v>4</v>
      </c>
      <c r="G15" s="49">
        <v>0.1</v>
      </c>
      <c r="H15" s="50">
        <f>SUM(H12:H14)*$G$15</f>
        <v>7.66</v>
      </c>
      <c r="I15" s="50">
        <f>SUM(I12:I14)*$G$15</f>
        <v>30.900000000000002</v>
      </c>
      <c r="J15" s="50">
        <f>SUM(J12:J14)*$G$15</f>
        <v>50.1</v>
      </c>
      <c r="K15" s="36"/>
    </row>
    <row r="16" spans="2:16" ht="14.25" customHeight="1" x14ac:dyDescent="0.2">
      <c r="B16" s="93"/>
      <c r="C16" s="94"/>
      <c r="D16" s="94"/>
      <c r="E16" s="95"/>
      <c r="F16" s="45" t="s">
        <v>5</v>
      </c>
      <c r="G16" s="46">
        <v>0.19</v>
      </c>
      <c r="H16" s="47">
        <f>SUM(H12:H15)*$G$16</f>
        <v>16.009399999999999</v>
      </c>
      <c r="I16" s="47">
        <f>SUM(I12:I15)*$G$16</f>
        <v>64.581000000000003</v>
      </c>
      <c r="J16" s="47">
        <f>SUM(J12:J15)*$G$16</f>
        <v>104.709</v>
      </c>
      <c r="K16" s="36"/>
    </row>
    <row r="17" spans="2:11" ht="15" customHeight="1" x14ac:dyDescent="0.25">
      <c r="B17" s="93"/>
      <c r="C17" s="94"/>
      <c r="D17" s="94"/>
      <c r="E17" s="95"/>
      <c r="F17" s="75" t="s">
        <v>6</v>
      </c>
      <c r="G17" s="21" t="s">
        <v>94</v>
      </c>
      <c r="H17" s="5">
        <f>SUM(H12:H16)</f>
        <v>100.26939999999999</v>
      </c>
      <c r="I17" s="5">
        <f>SUM(I12:I16)</f>
        <v>404.48099999999999</v>
      </c>
      <c r="J17" s="5">
        <f>SUM(J12:J16)</f>
        <v>655.80899999999997</v>
      </c>
      <c r="K17" s="37"/>
    </row>
    <row r="18" spans="2:11" ht="15" customHeight="1" thickBot="1" x14ac:dyDescent="0.3">
      <c r="B18" s="96"/>
      <c r="C18" s="97"/>
      <c r="D18" s="97"/>
      <c r="E18" s="98"/>
      <c r="F18" s="76"/>
      <c r="G18" s="55" t="s">
        <v>95</v>
      </c>
      <c r="H18" s="56">
        <f>H17/H5</f>
        <v>100.26939999999999</v>
      </c>
      <c r="I18" s="56">
        <f>I17/I5</f>
        <v>40.448099999999997</v>
      </c>
      <c r="J18" s="56">
        <f>J17/J5</f>
        <v>26.23236</v>
      </c>
      <c r="K18" s="37"/>
    </row>
    <row r="19" spans="2:11" ht="15" customHeight="1" thickTop="1" x14ac:dyDescent="0.25">
      <c r="B19" s="99" t="s">
        <v>15</v>
      </c>
      <c r="C19" s="100"/>
      <c r="D19" s="100"/>
      <c r="E19" s="101"/>
      <c r="F19" s="57" t="s">
        <v>16</v>
      </c>
      <c r="G19" s="57"/>
      <c r="H19" s="58">
        <v>15</v>
      </c>
      <c r="I19" s="58">
        <v>736</v>
      </c>
      <c r="J19" s="58">
        <v>1443</v>
      </c>
      <c r="K19" s="37"/>
    </row>
    <row r="20" spans="2:11" ht="15" customHeight="1" x14ac:dyDescent="0.25">
      <c r="B20" s="93"/>
      <c r="C20" s="94"/>
      <c r="D20" s="94"/>
      <c r="E20" s="95"/>
      <c r="F20" s="2" t="s">
        <v>3</v>
      </c>
      <c r="G20" s="3"/>
      <c r="H20" s="3">
        <v>41</v>
      </c>
      <c r="I20" s="3">
        <v>342</v>
      </c>
      <c r="J20" s="3">
        <v>655</v>
      </c>
      <c r="K20" s="37"/>
    </row>
    <row r="21" spans="2:11" ht="15" customHeight="1" x14ac:dyDescent="0.25">
      <c r="B21" s="93"/>
      <c r="C21" s="94"/>
      <c r="D21" s="94"/>
      <c r="E21" s="95"/>
      <c r="F21" s="48" t="s">
        <v>4</v>
      </c>
      <c r="G21" s="49">
        <v>0.1</v>
      </c>
      <c r="H21" s="50">
        <f>H19*$G$21</f>
        <v>1.5</v>
      </c>
      <c r="I21" s="50">
        <f>I19*$G$21</f>
        <v>73.600000000000009</v>
      </c>
      <c r="J21" s="50">
        <f>J19*$G$21</f>
        <v>144.30000000000001</v>
      </c>
      <c r="K21" s="37"/>
    </row>
    <row r="22" spans="2:11" ht="15" customHeight="1" x14ac:dyDescent="0.25">
      <c r="B22" s="93"/>
      <c r="C22" s="94"/>
      <c r="D22" s="94"/>
      <c r="E22" s="95"/>
      <c r="F22" s="45" t="s">
        <v>5</v>
      </c>
      <c r="G22" s="46">
        <v>0.19</v>
      </c>
      <c r="H22" s="47">
        <f>(H19+H21)*$G$22</f>
        <v>3.1350000000000002</v>
      </c>
      <c r="I22" s="47">
        <f>(I19+I21)*$G$22</f>
        <v>153.82400000000001</v>
      </c>
      <c r="J22" s="47">
        <f>(J19+J21)*$G$22</f>
        <v>301.58699999999999</v>
      </c>
      <c r="K22" s="37"/>
    </row>
    <row r="23" spans="2:11" ht="15" customHeight="1" x14ac:dyDescent="0.25">
      <c r="B23" s="93"/>
      <c r="C23" s="94"/>
      <c r="D23" s="94"/>
      <c r="E23" s="95"/>
      <c r="F23" s="75" t="s">
        <v>6</v>
      </c>
      <c r="G23" s="21" t="s">
        <v>94</v>
      </c>
      <c r="H23" s="5">
        <f>SUM(H19:H22)</f>
        <v>60.634999999999998</v>
      </c>
      <c r="I23" s="5">
        <f>SUM(I19:I22)</f>
        <v>1305.424</v>
      </c>
      <c r="J23" s="5">
        <f>SUM(J19:J22)</f>
        <v>2543.8870000000002</v>
      </c>
      <c r="K23" s="37"/>
    </row>
    <row r="24" spans="2:11" ht="15" customHeight="1" thickBot="1" x14ac:dyDescent="0.3">
      <c r="B24" s="96"/>
      <c r="C24" s="97"/>
      <c r="D24" s="97"/>
      <c r="E24" s="98"/>
      <c r="F24" s="76"/>
      <c r="G24" s="55" t="s">
        <v>95</v>
      </c>
      <c r="H24" s="56">
        <f>H23/H5</f>
        <v>60.634999999999998</v>
      </c>
      <c r="I24" s="56">
        <f>I23/I5</f>
        <v>130.54239999999999</v>
      </c>
      <c r="J24" s="56">
        <f>J23/J5</f>
        <v>101.75548000000001</v>
      </c>
      <c r="K24" s="37"/>
    </row>
    <row r="25" spans="2:11" ht="15" customHeight="1" thickTop="1" x14ac:dyDescent="0.25">
      <c r="B25" s="99" t="s">
        <v>87</v>
      </c>
      <c r="C25" s="100"/>
      <c r="D25" s="100"/>
      <c r="E25" s="101"/>
      <c r="F25" s="53" t="s">
        <v>86</v>
      </c>
      <c r="G25" s="60"/>
      <c r="H25" s="54">
        <v>80</v>
      </c>
      <c r="I25" s="54">
        <f>H25*I5</f>
        <v>800</v>
      </c>
      <c r="J25" s="54">
        <f>H25*J5</f>
        <v>2000</v>
      </c>
      <c r="K25" s="37"/>
    </row>
    <row r="26" spans="2:11" ht="15" customHeight="1" x14ac:dyDescent="0.25">
      <c r="B26" s="93"/>
      <c r="C26" s="94"/>
      <c r="D26" s="94"/>
      <c r="E26" s="95"/>
      <c r="F26" s="2" t="s">
        <v>3</v>
      </c>
      <c r="G26" s="3"/>
      <c r="H26" s="3">
        <v>10</v>
      </c>
      <c r="I26" s="3">
        <f>H26*I5</f>
        <v>100</v>
      </c>
      <c r="J26" s="3">
        <f>+H26*J5</f>
        <v>250</v>
      </c>
      <c r="K26" s="37"/>
    </row>
    <row r="27" spans="2:11" ht="15" customHeight="1" x14ac:dyDescent="0.25">
      <c r="B27" s="93"/>
      <c r="C27" s="94"/>
      <c r="D27" s="94"/>
      <c r="E27" s="95"/>
      <c r="F27" s="48" t="s">
        <v>4</v>
      </c>
      <c r="G27" s="49">
        <v>0.1</v>
      </c>
      <c r="H27" s="50">
        <f>H25*$G$27</f>
        <v>8</v>
      </c>
      <c r="I27" s="50">
        <f>I25*$G$27</f>
        <v>80</v>
      </c>
      <c r="J27" s="50">
        <f>J25*$G$27</f>
        <v>200</v>
      </c>
      <c r="K27" s="37"/>
    </row>
    <row r="28" spans="2:11" ht="15" customHeight="1" x14ac:dyDescent="0.25">
      <c r="B28" s="93"/>
      <c r="C28" s="94"/>
      <c r="D28" s="94"/>
      <c r="E28" s="95"/>
      <c r="F28" s="45" t="s">
        <v>5</v>
      </c>
      <c r="G28" s="46">
        <v>0.19</v>
      </c>
      <c r="H28" s="47">
        <f>(H25+H27)*$G$28</f>
        <v>16.72</v>
      </c>
      <c r="I28" s="47">
        <f>(I25+I27)*$G$28</f>
        <v>167.2</v>
      </c>
      <c r="J28" s="47">
        <f>(J25+J27)*$G$28</f>
        <v>418</v>
      </c>
      <c r="K28" s="37"/>
    </row>
    <row r="29" spans="2:11" ht="15" customHeight="1" x14ac:dyDescent="0.25">
      <c r="B29" s="93"/>
      <c r="C29" s="94"/>
      <c r="D29" s="94"/>
      <c r="E29" s="95"/>
      <c r="F29" s="75" t="s">
        <v>6</v>
      </c>
      <c r="G29" s="21" t="s">
        <v>94</v>
      </c>
      <c r="H29" s="5">
        <f>SUM(H25:H28)</f>
        <v>114.72</v>
      </c>
      <c r="I29" s="5">
        <f>SUM(I25:I28)</f>
        <v>1147.2</v>
      </c>
      <c r="J29" s="5">
        <f>SUM(J25:J28)</f>
        <v>2868</v>
      </c>
      <c r="K29" s="37"/>
    </row>
    <row r="30" spans="2:11" ht="15" customHeight="1" thickBot="1" x14ac:dyDescent="0.3">
      <c r="B30" s="96"/>
      <c r="C30" s="97"/>
      <c r="D30" s="97"/>
      <c r="E30" s="98"/>
      <c r="F30" s="76"/>
      <c r="G30" s="55" t="s">
        <v>95</v>
      </c>
      <c r="H30" s="56">
        <f>H29/H5</f>
        <v>114.72</v>
      </c>
      <c r="I30" s="56">
        <f>I29/I5</f>
        <v>114.72</v>
      </c>
      <c r="J30" s="56">
        <f>J29/J5</f>
        <v>114.72</v>
      </c>
      <c r="K30" s="37"/>
    </row>
    <row r="31" spans="2:11" ht="15" customHeight="1" thickTop="1" x14ac:dyDescent="0.25">
      <c r="B31" s="84" t="s">
        <v>97</v>
      </c>
      <c r="C31" s="85"/>
      <c r="D31" s="85"/>
      <c r="E31" s="85"/>
      <c r="F31" s="86"/>
      <c r="G31" s="61" t="s">
        <v>90</v>
      </c>
      <c r="H31" s="62">
        <f>SUM(H29,H23,H17,H10)</f>
        <v>485.06439999999998</v>
      </c>
      <c r="I31" s="62">
        <f>SUM(I29,I23,I17,I10)</f>
        <v>4493.3549999999996</v>
      </c>
      <c r="J31" s="62">
        <f>SUM(J29,J23,J17,J10)</f>
        <v>9667.4459999999999</v>
      </c>
      <c r="K31" s="37"/>
    </row>
    <row r="32" spans="2:11" ht="15" customHeight="1" thickBot="1" x14ac:dyDescent="0.3">
      <c r="B32" s="87"/>
      <c r="C32" s="88"/>
      <c r="D32" s="88"/>
      <c r="E32" s="88"/>
      <c r="F32" s="89"/>
      <c r="G32" s="63" t="s">
        <v>91</v>
      </c>
      <c r="H32" s="59">
        <f>SUM(H17,H10,H23,H29)*$C$2</f>
        <v>2013017.26</v>
      </c>
      <c r="I32" s="59">
        <f>SUM(I17,I10,I23,I29)*$C$2</f>
        <v>18647423.25</v>
      </c>
      <c r="J32" s="59">
        <f>SUM(J17,J10,J23,J29)*$C$2</f>
        <v>40119900.899999999</v>
      </c>
      <c r="K32" s="37"/>
    </row>
    <row r="33" spans="2:11" ht="14.25" customHeight="1" thickTop="1" x14ac:dyDescent="0.2">
      <c r="B33" s="105" t="s">
        <v>96</v>
      </c>
      <c r="C33" s="105"/>
      <c r="D33" s="105"/>
      <c r="E33" s="53" t="s">
        <v>10</v>
      </c>
      <c r="F33" s="60">
        <v>0.05</v>
      </c>
      <c r="G33" s="60"/>
      <c r="H33" s="54">
        <f>H32*$F$33</f>
        <v>100650.86300000001</v>
      </c>
      <c r="I33" s="54">
        <f>I32*$F$33</f>
        <v>932371.16250000009</v>
      </c>
      <c r="J33" s="54">
        <f>J32*$F$33</f>
        <v>2005995.0449999999</v>
      </c>
      <c r="K33" s="36"/>
    </row>
    <row r="34" spans="2:11" ht="14.25" customHeight="1" x14ac:dyDescent="0.2">
      <c r="B34" s="106"/>
      <c r="C34" s="106"/>
      <c r="D34" s="106"/>
      <c r="E34" s="2" t="s">
        <v>11</v>
      </c>
      <c r="F34" s="6">
        <v>1000</v>
      </c>
      <c r="G34" s="7">
        <v>32</v>
      </c>
      <c r="H34" s="3">
        <v>60000</v>
      </c>
      <c r="I34" s="3">
        <v>85000</v>
      </c>
      <c r="J34" s="3">
        <v>145000</v>
      </c>
      <c r="K34" s="36"/>
    </row>
    <row r="35" spans="2:11" ht="14.25" customHeight="1" x14ac:dyDescent="0.2">
      <c r="B35" s="106"/>
      <c r="C35" s="106"/>
      <c r="D35" s="106"/>
      <c r="E35" s="2" t="s">
        <v>12</v>
      </c>
      <c r="F35" s="6">
        <f>ROUND(1400000/30,0)/8</f>
        <v>5833.375</v>
      </c>
      <c r="G35" s="7">
        <v>64</v>
      </c>
      <c r="H35" s="3">
        <v>120000</v>
      </c>
      <c r="I35" s="3">
        <v>712500</v>
      </c>
      <c r="J35" s="3">
        <v>1325000</v>
      </c>
      <c r="K35" s="36">
        <f>+J34+J35</f>
        <v>1470000</v>
      </c>
    </row>
    <row r="36" spans="2:11" ht="14.25" customHeight="1" x14ac:dyDescent="0.25">
      <c r="B36" s="106"/>
      <c r="C36" s="106"/>
      <c r="D36" s="106"/>
      <c r="E36" s="110" t="s">
        <v>6</v>
      </c>
      <c r="F36" s="111"/>
      <c r="G36" s="21" t="s">
        <v>94</v>
      </c>
      <c r="H36" s="5">
        <f>SUM(H33:H35)</f>
        <v>280650.86300000001</v>
      </c>
      <c r="I36" s="5">
        <f>SUM(I33:I35)</f>
        <v>1729871.1625000001</v>
      </c>
      <c r="J36" s="5">
        <f>SUM(J33:J35)</f>
        <v>3475995.0449999999</v>
      </c>
      <c r="K36" s="36">
        <f>+K35/50</f>
        <v>29400</v>
      </c>
    </row>
    <row r="37" spans="2:11" ht="14.25" customHeight="1" thickBot="1" x14ac:dyDescent="0.25">
      <c r="B37" s="106"/>
      <c r="C37" s="106"/>
      <c r="D37" s="106"/>
      <c r="E37" s="112"/>
      <c r="F37" s="113"/>
      <c r="G37" s="55" t="s">
        <v>95</v>
      </c>
      <c r="H37" s="56">
        <f>H36/H5</f>
        <v>280650.86300000001</v>
      </c>
      <c r="I37" s="56">
        <f>I36/I5</f>
        <v>172987.11625000002</v>
      </c>
      <c r="J37" s="56">
        <f>J36/J5</f>
        <v>139039.80179999999</v>
      </c>
      <c r="K37" s="36"/>
    </row>
    <row r="38" spans="2:11" ht="18.75" thickTop="1" x14ac:dyDescent="0.25">
      <c r="B38" s="114" t="s">
        <v>13</v>
      </c>
      <c r="C38" s="115"/>
      <c r="D38" s="115"/>
      <c r="E38" s="115"/>
      <c r="F38" s="116"/>
      <c r="G38" s="43" t="s">
        <v>91</v>
      </c>
      <c r="H38" s="8">
        <f>SUM(H32:H35)</f>
        <v>2293668.1230000001</v>
      </c>
      <c r="I38" s="8">
        <f>SUM(I32:I35)</f>
        <v>20377294.412500001</v>
      </c>
      <c r="J38" s="8">
        <f>SUM(J32:J35)</f>
        <v>43595895.945</v>
      </c>
      <c r="K38" s="38"/>
    </row>
    <row r="39" spans="2:11" ht="18" x14ac:dyDescent="0.25">
      <c r="B39" s="117"/>
      <c r="C39" s="118"/>
      <c r="D39" s="118"/>
      <c r="E39" s="118"/>
      <c r="F39" s="119"/>
      <c r="G39" s="40" t="s">
        <v>90</v>
      </c>
      <c r="H39" s="8">
        <f>H38/$C$2</f>
        <v>552.6911139759037</v>
      </c>
      <c r="I39" s="8">
        <f>I38/$C$2</f>
        <v>4910.1914246987953</v>
      </c>
      <c r="J39" s="8">
        <f>J38/$C$2</f>
        <v>10505.03516746988</v>
      </c>
      <c r="K39" s="42"/>
    </row>
    <row r="40" spans="2:11" ht="18" x14ac:dyDescent="0.25">
      <c r="B40" s="64"/>
      <c r="C40" s="64"/>
      <c r="D40" s="64"/>
      <c r="E40" s="64"/>
      <c r="F40" s="64"/>
      <c r="G40" s="65"/>
      <c r="H40" s="66"/>
      <c r="I40" s="66"/>
      <c r="J40" s="66"/>
      <c r="K40" s="42"/>
    </row>
    <row r="41" spans="2:11" ht="18" x14ac:dyDescent="0.25">
      <c r="B41" s="83" t="s">
        <v>14</v>
      </c>
      <c r="C41" s="83"/>
      <c r="D41" s="83"/>
      <c r="E41" s="83"/>
      <c r="F41" s="83"/>
      <c r="G41" s="43" t="s">
        <v>91</v>
      </c>
      <c r="H41" s="8">
        <f>H38/H5</f>
        <v>2293668.1230000001</v>
      </c>
      <c r="I41" s="8">
        <f>I38/I5</f>
        <v>2037729.4412500001</v>
      </c>
      <c r="J41" s="8">
        <f>J38/J5</f>
        <v>1743835.8378000001</v>
      </c>
      <c r="K41" s="42"/>
    </row>
    <row r="42" spans="2:11" ht="18" x14ac:dyDescent="0.25">
      <c r="B42" s="83"/>
      <c r="C42" s="83"/>
      <c r="D42" s="83"/>
      <c r="E42" s="83"/>
      <c r="F42" s="83"/>
      <c r="G42" s="40" t="s">
        <v>90</v>
      </c>
      <c r="H42" s="8">
        <f>H41/$C$2</f>
        <v>552.6911139759037</v>
      </c>
      <c r="I42" s="8">
        <f>I41/$C$2</f>
        <v>491.01914246987957</v>
      </c>
      <c r="J42" s="8">
        <f>J41/$C$2</f>
        <v>420.20140669879521</v>
      </c>
      <c r="K42" s="42"/>
    </row>
    <row r="43" spans="2:11" ht="18" x14ac:dyDescent="0.25">
      <c r="B43" s="44"/>
      <c r="C43" s="44"/>
      <c r="D43" s="44"/>
      <c r="E43" s="44"/>
      <c r="F43" s="44"/>
      <c r="G43" s="41"/>
      <c r="H43" s="67"/>
      <c r="I43" s="42"/>
      <c r="J43" s="42"/>
      <c r="K43" s="42"/>
    </row>
    <row r="44" spans="2:11" ht="18" x14ac:dyDescent="0.25">
      <c r="B44" s="83" t="s">
        <v>92</v>
      </c>
      <c r="C44" s="83"/>
      <c r="D44" s="83"/>
      <c r="E44" s="83"/>
      <c r="F44" s="83"/>
      <c r="G44" s="51" t="s">
        <v>90</v>
      </c>
      <c r="H44" s="52">
        <f>SUM(H8,H15,H21,H27)</f>
        <v>33.159999999999997</v>
      </c>
      <c r="I44" s="52">
        <f>SUM(I8,I15,I21,I27)</f>
        <v>309.5</v>
      </c>
      <c r="J44" s="52">
        <f>SUM(J8,J15,J21,J27)</f>
        <v>669.40000000000009</v>
      </c>
      <c r="K44" s="42"/>
    </row>
    <row r="45" spans="2:11" ht="18" x14ac:dyDescent="0.25">
      <c r="B45" s="83"/>
      <c r="C45" s="83"/>
      <c r="D45" s="83"/>
      <c r="E45" s="83"/>
      <c r="F45" s="83"/>
      <c r="G45" s="43" t="s">
        <v>91</v>
      </c>
      <c r="H45" s="8">
        <f>H44*$C$2</f>
        <v>137614</v>
      </c>
      <c r="I45" s="8">
        <f t="shared" ref="I45:J45" si="0">I44*$C$2</f>
        <v>1284425</v>
      </c>
      <c r="J45" s="8">
        <f t="shared" si="0"/>
        <v>2778010.0000000005</v>
      </c>
      <c r="K45" s="42"/>
    </row>
    <row r="46" spans="2:11" ht="18" x14ac:dyDescent="0.25">
      <c r="B46" s="83" t="s">
        <v>5</v>
      </c>
      <c r="C46" s="83"/>
      <c r="D46" s="83"/>
      <c r="E46" s="83"/>
      <c r="F46" s="83"/>
      <c r="G46" s="51" t="s">
        <v>90</v>
      </c>
      <c r="H46" s="52">
        <f>SUM(H9,H16,H22,H28)</f>
        <v>69.304399999999987</v>
      </c>
      <c r="I46" s="52">
        <f>SUM(I9,I16,I22,I28)</f>
        <v>646.85500000000002</v>
      </c>
      <c r="J46" s="52">
        <f>SUM(J9,J16,J22,J28)</f>
        <v>1399.046</v>
      </c>
      <c r="K46" s="42"/>
    </row>
    <row r="47" spans="2:11" ht="18" x14ac:dyDescent="0.25">
      <c r="B47" s="83"/>
      <c r="C47" s="83"/>
      <c r="D47" s="83"/>
      <c r="E47" s="83"/>
      <c r="F47" s="83"/>
      <c r="G47" s="43" t="s">
        <v>91</v>
      </c>
      <c r="H47" s="8">
        <f>H46*$C$2</f>
        <v>287613.25999999995</v>
      </c>
      <c r="I47" s="8">
        <f t="shared" ref="I47:J47" si="1">I46*$C$2</f>
        <v>2684448.25</v>
      </c>
      <c r="J47" s="8">
        <f t="shared" si="1"/>
        <v>5806040.9000000004</v>
      </c>
      <c r="K47" s="42"/>
    </row>
    <row r="48" spans="2:11" ht="18" x14ac:dyDescent="0.25">
      <c r="B48" s="44"/>
      <c r="C48" s="44"/>
      <c r="D48" s="44"/>
      <c r="E48" s="44"/>
      <c r="F48" s="44"/>
      <c r="G48" s="41"/>
      <c r="H48" s="42"/>
      <c r="I48" s="42"/>
      <c r="J48" s="42"/>
      <c r="K48" s="42"/>
    </row>
    <row r="49" spans="2:17" ht="18" x14ac:dyDescent="0.25">
      <c r="B49" s="83" t="s">
        <v>93</v>
      </c>
      <c r="C49" s="83"/>
      <c r="D49" s="83"/>
      <c r="E49" s="83"/>
      <c r="F49" s="83"/>
      <c r="G49" s="43" t="s">
        <v>91</v>
      </c>
      <c r="H49" s="8">
        <f>(H38-H47)/H5</f>
        <v>2006054.8630000001</v>
      </c>
      <c r="I49" s="8">
        <f>(I38-I47)/I5</f>
        <v>1769284.6162500002</v>
      </c>
      <c r="J49" s="8">
        <f>(J38-J47)/J5</f>
        <v>1511594.2018000002</v>
      </c>
      <c r="K49" s="42"/>
    </row>
    <row r="50" spans="2:17" ht="18" x14ac:dyDescent="0.25">
      <c r="B50" s="83"/>
      <c r="C50" s="83"/>
      <c r="D50" s="83"/>
      <c r="E50" s="83"/>
      <c r="F50" s="83"/>
      <c r="G50" s="40" t="s">
        <v>90</v>
      </c>
      <c r="H50" s="8">
        <f>H49/$C$2</f>
        <v>483.38671397590366</v>
      </c>
      <c r="I50" s="8">
        <f t="shared" ref="I50:J50" si="2">I49/$C$2</f>
        <v>426.33364246987958</v>
      </c>
      <c r="J50" s="8">
        <f t="shared" si="2"/>
        <v>364.23956669879522</v>
      </c>
      <c r="K50" s="42"/>
    </row>
    <row r="52" spans="2:17" x14ac:dyDescent="0.2">
      <c r="B52" s="79" t="s">
        <v>17</v>
      </c>
      <c r="C52" s="79"/>
      <c r="D52" s="79"/>
      <c r="E52" s="79"/>
      <c r="F52" s="2"/>
      <c r="G52" s="2"/>
      <c r="H52" s="11">
        <v>3500000</v>
      </c>
      <c r="I52" s="11">
        <v>3500000</v>
      </c>
      <c r="J52" s="11">
        <v>3500000</v>
      </c>
      <c r="L52" s="14"/>
      <c r="M52" s="14"/>
      <c r="N52" s="14"/>
      <c r="O52" s="14"/>
      <c r="P52" s="14"/>
      <c r="Q52" s="14"/>
    </row>
    <row r="53" spans="2:17" x14ac:dyDescent="0.2">
      <c r="B53" s="79" t="s">
        <v>18</v>
      </c>
      <c r="C53" s="79"/>
      <c r="D53" s="79"/>
      <c r="E53" s="79"/>
      <c r="F53" s="2"/>
      <c r="G53" s="2"/>
      <c r="H53" s="11">
        <f>H41</f>
        <v>2293668.1230000001</v>
      </c>
      <c r="I53" s="11">
        <f>I41</f>
        <v>2037729.4412500001</v>
      </c>
      <c r="J53" s="11">
        <f>J41</f>
        <v>1743835.8378000001</v>
      </c>
      <c r="L53" s="14"/>
      <c r="M53" s="14"/>
      <c r="N53" s="14"/>
      <c r="O53" s="14"/>
      <c r="P53" s="14"/>
      <c r="Q53" s="14"/>
    </row>
    <row r="54" spans="2:17" s="15" customFormat="1" ht="15" x14ac:dyDescent="0.25">
      <c r="B54" s="102" t="s">
        <v>19</v>
      </c>
      <c r="C54" s="102"/>
      <c r="D54" s="102"/>
      <c r="E54" s="102"/>
      <c r="F54" s="21"/>
      <c r="G54" s="21"/>
      <c r="H54" s="12">
        <f>H52-H53</f>
        <v>1206331.8769999999</v>
      </c>
      <c r="I54" s="12">
        <f>I52-I53</f>
        <v>1462270.5587499999</v>
      </c>
      <c r="J54" s="12">
        <f>J52-J53</f>
        <v>1756164.1621999999</v>
      </c>
      <c r="L54" s="16"/>
      <c r="M54" s="16"/>
      <c r="N54" s="16"/>
      <c r="O54" s="16"/>
      <c r="P54" s="16"/>
      <c r="Q54" s="16"/>
    </row>
    <row r="55" spans="2:17" s="15" customFormat="1" ht="15" x14ac:dyDescent="0.25">
      <c r="B55" s="102" t="s">
        <v>20</v>
      </c>
      <c r="C55" s="102"/>
      <c r="D55" s="102"/>
      <c r="E55" s="102"/>
      <c r="F55" s="21"/>
      <c r="G55" s="21"/>
      <c r="H55" s="22">
        <f>(H52-H53)/H52</f>
        <v>0.34466625057142852</v>
      </c>
      <c r="I55" s="22">
        <f>(I52-I53)/I52</f>
        <v>0.41779158821428569</v>
      </c>
      <c r="J55" s="22">
        <f>(J52-J53)/J52</f>
        <v>0.50176118920000001</v>
      </c>
      <c r="L55" s="17"/>
      <c r="M55" s="16"/>
      <c r="N55" s="16"/>
      <c r="O55" s="16"/>
      <c r="P55" s="16"/>
      <c r="Q55" s="16"/>
    </row>
    <row r="56" spans="2:17" x14ac:dyDescent="0.2">
      <c r="B56" s="79" t="s">
        <v>21</v>
      </c>
      <c r="C56" s="79"/>
      <c r="D56" s="79"/>
      <c r="E56" s="79"/>
      <c r="F56" s="4">
        <v>0.04</v>
      </c>
      <c r="G56" s="2"/>
      <c r="H56" s="11">
        <f t="shared" ref="H56:J62" si="3">H$52*$F56</f>
        <v>140000</v>
      </c>
      <c r="I56" s="11">
        <f t="shared" si="3"/>
        <v>140000</v>
      </c>
      <c r="J56" s="11">
        <f t="shared" si="3"/>
        <v>140000</v>
      </c>
      <c r="L56" s="14"/>
      <c r="M56" s="14"/>
      <c r="N56" s="14"/>
      <c r="O56" s="14"/>
      <c r="P56" s="14"/>
      <c r="Q56" s="14"/>
    </row>
    <row r="57" spans="2:17" x14ac:dyDescent="0.2">
      <c r="B57" s="79" t="s">
        <v>22</v>
      </c>
      <c r="C57" s="79"/>
      <c r="D57" s="79"/>
      <c r="E57" s="79"/>
      <c r="F57" s="4">
        <v>0.03</v>
      </c>
      <c r="G57" s="2"/>
      <c r="H57" s="11">
        <f t="shared" si="3"/>
        <v>105000</v>
      </c>
      <c r="I57" s="11">
        <f t="shared" si="3"/>
        <v>105000</v>
      </c>
      <c r="J57" s="11">
        <f t="shared" si="3"/>
        <v>105000</v>
      </c>
      <c r="L57" s="14"/>
      <c r="M57" s="14"/>
      <c r="N57" s="14"/>
      <c r="O57" s="14"/>
      <c r="P57" s="14"/>
      <c r="Q57" s="14"/>
    </row>
    <row r="58" spans="2:17" x14ac:dyDescent="0.2">
      <c r="B58" s="79" t="s">
        <v>23</v>
      </c>
      <c r="C58" s="79"/>
      <c r="D58" s="79"/>
      <c r="E58" s="79"/>
      <c r="F58" s="4">
        <v>0.05</v>
      </c>
      <c r="G58" s="2"/>
      <c r="H58" s="11">
        <f t="shared" si="3"/>
        <v>175000</v>
      </c>
      <c r="I58" s="11">
        <f t="shared" si="3"/>
        <v>175000</v>
      </c>
      <c r="J58" s="11">
        <f t="shared" si="3"/>
        <v>175000</v>
      </c>
      <c r="L58" s="14"/>
      <c r="M58" s="14"/>
      <c r="N58" s="14"/>
      <c r="O58" s="14"/>
      <c r="P58" s="14"/>
      <c r="Q58" s="14"/>
    </row>
    <row r="59" spans="2:17" x14ac:dyDescent="0.2">
      <c r="B59" s="79" t="s">
        <v>24</v>
      </c>
      <c r="C59" s="79"/>
      <c r="D59" s="79"/>
      <c r="E59" s="79"/>
      <c r="F59" s="4">
        <v>0.02</v>
      </c>
      <c r="G59" s="2"/>
      <c r="H59" s="11">
        <f t="shared" si="3"/>
        <v>70000</v>
      </c>
      <c r="I59" s="11">
        <f t="shared" si="3"/>
        <v>70000</v>
      </c>
      <c r="J59" s="11">
        <f t="shared" si="3"/>
        <v>70000</v>
      </c>
      <c r="L59" s="14"/>
      <c r="M59" s="14"/>
      <c r="N59" s="14"/>
      <c r="O59" s="14"/>
      <c r="P59" s="14"/>
      <c r="Q59" s="14"/>
    </row>
    <row r="60" spans="2:17" x14ac:dyDescent="0.2">
      <c r="B60" s="79" t="s">
        <v>25</v>
      </c>
      <c r="C60" s="79"/>
      <c r="D60" s="79"/>
      <c r="E60" s="79"/>
      <c r="F60" s="4">
        <v>0.01</v>
      </c>
      <c r="G60" s="2"/>
      <c r="H60" s="11">
        <f t="shared" si="3"/>
        <v>35000</v>
      </c>
      <c r="I60" s="11">
        <f t="shared" si="3"/>
        <v>35000</v>
      </c>
      <c r="J60" s="11">
        <f t="shared" si="3"/>
        <v>35000</v>
      </c>
      <c r="L60" s="14"/>
      <c r="M60" s="14"/>
      <c r="N60" s="14"/>
      <c r="O60" s="14"/>
      <c r="P60" s="14"/>
      <c r="Q60" s="14"/>
    </row>
    <row r="61" spans="2:17" x14ac:dyDescent="0.2">
      <c r="B61" s="79" t="s">
        <v>26</v>
      </c>
      <c r="C61" s="79"/>
      <c r="D61" s="79"/>
      <c r="E61" s="79"/>
      <c r="F61" s="4">
        <v>0.1</v>
      </c>
      <c r="G61" s="2"/>
      <c r="H61" s="11">
        <f t="shared" si="3"/>
        <v>350000</v>
      </c>
      <c r="I61" s="11">
        <f t="shared" si="3"/>
        <v>350000</v>
      </c>
      <c r="J61" s="11">
        <f t="shared" si="3"/>
        <v>350000</v>
      </c>
      <c r="L61" s="14"/>
      <c r="M61" s="14"/>
      <c r="N61" s="14"/>
      <c r="O61" s="14"/>
      <c r="P61" s="14"/>
      <c r="Q61" s="14"/>
    </row>
    <row r="62" spans="2:17" x14ac:dyDescent="0.2">
      <c r="B62" s="79" t="s">
        <v>27</v>
      </c>
      <c r="C62" s="79"/>
      <c r="D62" s="79"/>
      <c r="E62" s="79"/>
      <c r="F62" s="4">
        <v>0.02</v>
      </c>
      <c r="G62" s="2"/>
      <c r="H62" s="11">
        <f t="shared" si="3"/>
        <v>70000</v>
      </c>
      <c r="I62" s="11">
        <f t="shared" si="3"/>
        <v>70000</v>
      </c>
      <c r="J62" s="11">
        <f t="shared" si="3"/>
        <v>70000</v>
      </c>
      <c r="L62" s="14"/>
      <c r="M62" s="14"/>
      <c r="N62" s="14"/>
      <c r="O62" s="14"/>
      <c r="P62" s="14"/>
      <c r="Q62" s="14"/>
    </row>
    <row r="63" spans="2:17" ht="15" x14ac:dyDescent="0.25">
      <c r="B63" s="102" t="s">
        <v>28</v>
      </c>
      <c r="C63" s="102"/>
      <c r="D63" s="102"/>
      <c r="E63" s="102"/>
      <c r="F63" s="23"/>
      <c r="G63" s="21"/>
      <c r="H63" s="12">
        <f>SUM(H56:H62)</f>
        <v>945000</v>
      </c>
      <c r="I63" s="12">
        <f>SUM(I56:I62)</f>
        <v>945000</v>
      </c>
      <c r="J63" s="12">
        <f>SUM(J56:J62)</f>
        <v>945000</v>
      </c>
      <c r="L63" s="16"/>
      <c r="M63" s="16"/>
      <c r="N63" s="16"/>
      <c r="O63" s="16"/>
      <c r="P63" s="16"/>
      <c r="Q63" s="16"/>
    </row>
    <row r="64" spans="2:17" s="15" customFormat="1" ht="15" x14ac:dyDescent="0.25">
      <c r="B64" s="102" t="s">
        <v>29</v>
      </c>
      <c r="C64" s="102"/>
      <c r="D64" s="102"/>
      <c r="E64" s="102"/>
      <c r="F64" s="23"/>
      <c r="G64" s="21"/>
      <c r="H64" s="12">
        <f>H54-H63</f>
        <v>261331.87699999986</v>
      </c>
      <c r="I64" s="12">
        <f>I54-I63</f>
        <v>517270.55874999985</v>
      </c>
      <c r="J64" s="12">
        <f>J54-J63</f>
        <v>811164.1621999999</v>
      </c>
      <c r="L64" s="16"/>
      <c r="M64" s="16"/>
      <c r="N64" s="16"/>
      <c r="O64" s="16"/>
      <c r="P64" s="16"/>
      <c r="Q64" s="16"/>
    </row>
    <row r="65" spans="2:17" s="15" customFormat="1" ht="15" x14ac:dyDescent="0.25">
      <c r="B65" s="102" t="s">
        <v>30</v>
      </c>
      <c r="C65" s="102"/>
      <c r="D65" s="102"/>
      <c r="E65" s="102"/>
      <c r="F65" s="23"/>
      <c r="G65" s="21"/>
      <c r="H65" s="24">
        <f>H64/H52</f>
        <v>7.4666250571428533E-2</v>
      </c>
      <c r="I65" s="24">
        <f>I64/I52</f>
        <v>0.14779158821428567</v>
      </c>
      <c r="J65" s="24">
        <f>J64/J52</f>
        <v>0.23176118919999997</v>
      </c>
      <c r="L65" s="39"/>
      <c r="M65" s="16"/>
      <c r="N65" s="16"/>
      <c r="O65" s="16"/>
      <c r="P65" s="16"/>
      <c r="Q65" s="16"/>
    </row>
    <row r="66" spans="2:17" x14ac:dyDescent="0.2">
      <c r="B66" s="79" t="s">
        <v>31</v>
      </c>
      <c r="C66" s="79"/>
      <c r="D66" s="79"/>
      <c r="E66" s="79"/>
      <c r="F66" s="4">
        <v>0.02</v>
      </c>
      <c r="G66" s="2"/>
      <c r="H66" s="11">
        <f>H52*$F66</f>
        <v>70000</v>
      </c>
      <c r="I66" s="11">
        <f>I52*$F66</f>
        <v>70000</v>
      </c>
      <c r="J66" s="11">
        <f>J52*$F66</f>
        <v>70000</v>
      </c>
      <c r="L66" s="14"/>
      <c r="M66" s="14"/>
      <c r="N66" s="14"/>
      <c r="O66" s="14"/>
      <c r="P66" s="14"/>
      <c r="Q66" s="14"/>
    </row>
    <row r="67" spans="2:17" s="15" customFormat="1" ht="15" x14ac:dyDescent="0.25">
      <c r="B67" s="102" t="s">
        <v>32</v>
      </c>
      <c r="C67" s="102"/>
      <c r="D67" s="102"/>
      <c r="E67" s="102"/>
      <c r="F67" s="21"/>
      <c r="G67" s="21"/>
      <c r="H67" s="12">
        <f>H64-H66</f>
        <v>191331.87699999986</v>
      </c>
      <c r="I67" s="12">
        <f>I64-I66</f>
        <v>447270.55874999985</v>
      </c>
      <c r="J67" s="12">
        <f>J64-J66</f>
        <v>741164.1621999999</v>
      </c>
      <c r="L67" s="16"/>
      <c r="M67" s="16"/>
      <c r="N67" s="16"/>
      <c r="O67" s="16"/>
      <c r="P67" s="16"/>
      <c r="Q67" s="16"/>
    </row>
    <row r="68" spans="2:17" s="15" customFormat="1" ht="15" x14ac:dyDescent="0.25">
      <c r="B68" s="102" t="s">
        <v>33</v>
      </c>
      <c r="C68" s="102"/>
      <c r="D68" s="102"/>
      <c r="E68" s="102"/>
      <c r="F68" s="21"/>
      <c r="G68" s="21"/>
      <c r="H68" s="22">
        <f>H67/H52</f>
        <v>5.4666250571428529E-2</v>
      </c>
      <c r="I68" s="22">
        <f>I67/I52</f>
        <v>0.12779158821428568</v>
      </c>
      <c r="J68" s="22">
        <f>J67/J52</f>
        <v>0.21176118919999998</v>
      </c>
      <c r="L68" s="17"/>
      <c r="M68" s="16"/>
      <c r="N68" s="16"/>
      <c r="O68" s="16"/>
      <c r="P68" s="16"/>
      <c r="Q68" s="16"/>
    </row>
    <row r="69" spans="2:17" x14ac:dyDescent="0.2">
      <c r="B69" s="79" t="s">
        <v>34</v>
      </c>
      <c r="C69" s="79"/>
      <c r="D69" s="79"/>
      <c r="E69" s="79"/>
      <c r="F69" s="4">
        <v>0.35</v>
      </c>
      <c r="G69" s="2"/>
      <c r="H69" s="11">
        <f>$F69*H$67</f>
        <v>66966.156949999946</v>
      </c>
      <c r="I69" s="11">
        <f>$F69*I$67</f>
        <v>156544.69556249992</v>
      </c>
      <c r="J69" s="11">
        <f>$F69*J$67</f>
        <v>259407.45676999996</v>
      </c>
    </row>
    <row r="70" spans="2:17" s="72" customFormat="1" ht="15.75" x14ac:dyDescent="0.25">
      <c r="B70" s="103" t="s">
        <v>35</v>
      </c>
      <c r="C70" s="103"/>
      <c r="D70" s="103"/>
      <c r="E70" s="103"/>
      <c r="F70" s="68"/>
      <c r="G70" s="68"/>
      <c r="H70" s="69">
        <f>H67-H69</f>
        <v>124365.72004999992</v>
      </c>
      <c r="I70" s="69">
        <f>I67-I69</f>
        <v>290725.86318749993</v>
      </c>
      <c r="J70" s="69">
        <f>J67-J69</f>
        <v>481756.70542999997</v>
      </c>
    </row>
    <row r="71" spans="2:17" s="73" customFormat="1" ht="15" x14ac:dyDescent="0.25">
      <c r="B71" s="103" t="s">
        <v>36</v>
      </c>
      <c r="C71" s="103"/>
      <c r="D71" s="103"/>
      <c r="E71" s="103"/>
      <c r="F71" s="70"/>
      <c r="G71" s="70"/>
      <c r="H71" s="71">
        <f>H70/H52</f>
        <v>3.5533062871428545E-2</v>
      </c>
      <c r="I71" s="71">
        <f>I70/I52</f>
        <v>8.3064532339285693E-2</v>
      </c>
      <c r="J71" s="71">
        <f>J70/J52</f>
        <v>0.13764477298</v>
      </c>
    </row>
    <row r="72" spans="2:17" ht="15" x14ac:dyDescent="0.25">
      <c r="B72" s="102" t="s">
        <v>37</v>
      </c>
      <c r="C72" s="102"/>
      <c r="D72" s="102"/>
      <c r="E72" s="102"/>
      <c r="F72" s="2"/>
      <c r="G72" s="2"/>
      <c r="H72" s="25"/>
      <c r="I72" s="25"/>
      <c r="J72" s="25"/>
    </row>
    <row r="73" spans="2:17" x14ac:dyDescent="0.2">
      <c r="B73" s="79" t="s">
        <v>38</v>
      </c>
      <c r="C73" s="79"/>
      <c r="D73" s="79"/>
      <c r="E73" s="79"/>
      <c r="F73" s="2"/>
      <c r="G73" s="2"/>
      <c r="H73" s="26">
        <f>H52-(H63+H53)</f>
        <v>261331.87699999986</v>
      </c>
      <c r="I73" s="26">
        <f>I52-(I63+I53)</f>
        <v>517270.55874999985</v>
      </c>
      <c r="J73" s="26">
        <f>J52-(J63+J53)</f>
        <v>811164.16220000014</v>
      </c>
    </row>
    <row r="74" spans="2:17" x14ac:dyDescent="0.2">
      <c r="B74" s="79" t="s">
        <v>39</v>
      </c>
      <c r="C74" s="79"/>
      <c r="D74" s="79"/>
      <c r="E74" s="79"/>
      <c r="F74" s="2"/>
      <c r="G74" s="2"/>
      <c r="H74" s="26">
        <v>10000000</v>
      </c>
      <c r="I74" s="26">
        <v>10000000</v>
      </c>
      <c r="J74" s="26">
        <v>10000000</v>
      </c>
      <c r="L74" s="18"/>
    </row>
    <row r="75" spans="2:17" x14ac:dyDescent="0.2">
      <c r="B75" s="79" t="s">
        <v>40</v>
      </c>
      <c r="C75" s="79"/>
      <c r="D75" s="79"/>
      <c r="E75" s="79"/>
      <c r="F75" s="2"/>
      <c r="G75" s="2"/>
      <c r="H75" s="2"/>
      <c r="I75" s="27"/>
      <c r="J75" s="27">
        <f>ROUNDUP(J74/J73,0)</f>
        <v>13</v>
      </c>
      <c r="L75" s="19"/>
    </row>
    <row r="76" spans="2:17" x14ac:dyDescent="0.2">
      <c r="B76" s="120"/>
      <c r="C76" s="120"/>
      <c r="D76" s="120"/>
      <c r="E76" s="120"/>
    </row>
    <row r="77" spans="2:17" ht="15.75" x14ac:dyDescent="0.25">
      <c r="B77" s="104" t="s">
        <v>98</v>
      </c>
      <c r="C77" s="104"/>
      <c r="D77" s="104"/>
      <c r="E77" s="104"/>
      <c r="F77" s="104"/>
      <c r="G77" s="104"/>
      <c r="H77" s="104"/>
      <c r="I77" s="104"/>
      <c r="J77" s="104"/>
      <c r="K77" s="104"/>
    </row>
    <row r="78" spans="2:17" ht="15" x14ac:dyDescent="0.25">
      <c r="B78" s="32" t="s">
        <v>41</v>
      </c>
      <c r="C78" s="21" t="s">
        <v>42</v>
      </c>
      <c r="D78" s="21" t="s">
        <v>43</v>
      </c>
      <c r="E78" s="21" t="s">
        <v>44</v>
      </c>
      <c r="F78" s="21" t="s">
        <v>45</v>
      </c>
      <c r="G78" s="21" t="s">
        <v>46</v>
      </c>
      <c r="H78" s="21" t="s">
        <v>47</v>
      </c>
      <c r="I78" s="21" t="s">
        <v>35</v>
      </c>
      <c r="J78" s="21" t="s">
        <v>48</v>
      </c>
      <c r="K78" s="21" t="s">
        <v>49</v>
      </c>
    </row>
    <row r="79" spans="2:17" ht="15" x14ac:dyDescent="0.25">
      <c r="B79" s="21">
        <v>30</v>
      </c>
      <c r="C79" s="11">
        <f>$I$52*B79</f>
        <v>105000000</v>
      </c>
      <c r="D79" s="11">
        <f>$I$53*B79</f>
        <v>61131883.237500004</v>
      </c>
      <c r="E79" s="11">
        <f>C79-D79</f>
        <v>43868116.762499996</v>
      </c>
      <c r="F79" s="11">
        <f>C79*SUM($F$56:$F$62)</f>
        <v>28350000.000000004</v>
      </c>
      <c r="G79" s="11">
        <f>E79-F79</f>
        <v>15518116.762499992</v>
      </c>
      <c r="H79" s="11">
        <f>G79-C79*$F$66</f>
        <v>13418116.762499992</v>
      </c>
      <c r="I79" s="11">
        <f>H79-H79*$F$69</f>
        <v>8721775.8956249952</v>
      </c>
      <c r="J79" s="2">
        <v>10000000</v>
      </c>
      <c r="K79" s="33">
        <f>I79-J79</f>
        <v>-1278224.1043750048</v>
      </c>
    </row>
    <row r="80" spans="2:17" ht="15" x14ac:dyDescent="0.25">
      <c r="B80" s="21">
        <v>80</v>
      </c>
      <c r="C80" s="11">
        <f>$I$52*B80</f>
        <v>280000000</v>
      </c>
      <c r="D80" s="11">
        <f>$I$53*B80</f>
        <v>163018355.30000001</v>
      </c>
      <c r="E80" s="11">
        <f>C80-D80</f>
        <v>116981644.69999999</v>
      </c>
      <c r="F80" s="11">
        <f>C80*SUM($F$56:$F$62)</f>
        <v>75600000</v>
      </c>
      <c r="G80" s="11">
        <f>E80-F80</f>
        <v>41381644.699999988</v>
      </c>
      <c r="H80" s="11">
        <f>G80-C80*$F$66</f>
        <v>35781644.699999988</v>
      </c>
      <c r="I80" s="11">
        <f>H80-H80*$F$69</f>
        <v>23258069.054999992</v>
      </c>
      <c r="J80" s="2">
        <v>10000000</v>
      </c>
      <c r="K80" s="33">
        <f>I80-J80</f>
        <v>13258069.054999992</v>
      </c>
    </row>
    <row r="81" spans="2:11" ht="15" x14ac:dyDescent="0.25">
      <c r="B81" s="21">
        <v>100</v>
      </c>
      <c r="C81" s="11">
        <f>$I$52*B81</f>
        <v>350000000</v>
      </c>
      <c r="D81" s="11">
        <f>$I$53*B81</f>
        <v>203772944.125</v>
      </c>
      <c r="E81" s="11">
        <f>C81-D81</f>
        <v>146227055.875</v>
      </c>
      <c r="F81" s="11">
        <f>C81*SUM($F$56:$F$62)</f>
        <v>94500000</v>
      </c>
      <c r="G81" s="11">
        <f>E81-F81</f>
        <v>51727055.875</v>
      </c>
      <c r="H81" s="11">
        <f>G81-C81*$F$66</f>
        <v>44727055.875</v>
      </c>
      <c r="I81" s="11">
        <f>H81-H81*$F$69</f>
        <v>29072586.318750001</v>
      </c>
      <c r="J81" s="2">
        <v>10000000</v>
      </c>
      <c r="K81" s="33">
        <f>I81-J81</f>
        <v>19072586.318750001</v>
      </c>
    </row>
    <row r="82" spans="2:11" ht="15" x14ac:dyDescent="0.25">
      <c r="B82" s="21">
        <v>120</v>
      </c>
      <c r="C82" s="11">
        <f>$I$52*B82</f>
        <v>420000000</v>
      </c>
      <c r="D82" s="11">
        <f>$I$53*B82</f>
        <v>244527532.95000002</v>
      </c>
      <c r="E82" s="11">
        <f>C82-D82</f>
        <v>175472467.04999998</v>
      </c>
      <c r="F82" s="11">
        <f>C82*SUM($F$56:$F$62)</f>
        <v>113400000.00000001</v>
      </c>
      <c r="G82" s="11">
        <f>E82-F82</f>
        <v>62072467.049999967</v>
      </c>
      <c r="H82" s="11">
        <f>G82-C82*$F$66</f>
        <v>53672467.049999967</v>
      </c>
      <c r="I82" s="11">
        <f>H82-H82*$F$69</f>
        <v>34887103.582499981</v>
      </c>
      <c r="J82" s="2">
        <v>10000000</v>
      </c>
      <c r="K82" s="33">
        <f>I82-J82</f>
        <v>24887103.582499981</v>
      </c>
    </row>
    <row r="83" spans="2:11" ht="15" x14ac:dyDescent="0.25">
      <c r="B83" s="21">
        <v>150</v>
      </c>
      <c r="C83" s="11">
        <f>$I$52*B83</f>
        <v>525000000</v>
      </c>
      <c r="D83" s="11">
        <f>$I$53*B83</f>
        <v>305659416.1875</v>
      </c>
      <c r="E83" s="11">
        <f>C83-D83</f>
        <v>219340583.8125</v>
      </c>
      <c r="F83" s="11">
        <f>C83*SUM($F$56:$F$62)</f>
        <v>141750000</v>
      </c>
      <c r="G83" s="11">
        <f>E83-F83</f>
        <v>77590583.8125</v>
      </c>
      <c r="H83" s="11">
        <f>G83-C83*$F$66</f>
        <v>67090583.8125</v>
      </c>
      <c r="I83" s="11">
        <f>H83-H83*$F$69</f>
        <v>43608879.478125006</v>
      </c>
      <c r="J83" s="2">
        <v>10000000</v>
      </c>
      <c r="K83" s="33">
        <f>I83-J83</f>
        <v>33608879.478125006</v>
      </c>
    </row>
    <row r="85" spans="2:11" ht="15.75" x14ac:dyDescent="0.25">
      <c r="B85" s="104" t="s">
        <v>89</v>
      </c>
      <c r="C85" s="104"/>
      <c r="D85" s="104"/>
      <c r="E85" s="104"/>
      <c r="F85" s="104"/>
      <c r="G85" s="104"/>
      <c r="H85" s="104"/>
      <c r="I85" s="104"/>
      <c r="J85" s="104"/>
      <c r="K85" s="104"/>
    </row>
    <row r="86" spans="2:11" ht="15" x14ac:dyDescent="0.25">
      <c r="B86" s="32" t="s">
        <v>41</v>
      </c>
      <c r="C86" s="21" t="s">
        <v>42</v>
      </c>
      <c r="D86" s="21" t="s">
        <v>43</v>
      </c>
      <c r="E86" s="21" t="s">
        <v>44</v>
      </c>
      <c r="F86" s="21" t="s">
        <v>45</v>
      </c>
      <c r="G86" s="21" t="s">
        <v>46</v>
      </c>
      <c r="H86" s="21" t="s">
        <v>47</v>
      </c>
      <c r="I86" s="21" t="s">
        <v>35</v>
      </c>
      <c r="J86" s="21" t="s">
        <v>48</v>
      </c>
      <c r="K86" s="21" t="s">
        <v>49</v>
      </c>
    </row>
    <row r="87" spans="2:11" ht="15" x14ac:dyDescent="0.25">
      <c r="B87" s="21">
        <v>30</v>
      </c>
      <c r="C87" s="11">
        <f>$I$52*B87</f>
        <v>105000000</v>
      </c>
      <c r="D87" s="11">
        <f>$J$53*B87</f>
        <v>52315075.134000003</v>
      </c>
      <c r="E87" s="11">
        <f>C87-D87</f>
        <v>52684924.865999997</v>
      </c>
      <c r="F87" s="11">
        <f>C87*SUM($F$56:$F$62)</f>
        <v>28350000.000000004</v>
      </c>
      <c r="G87" s="11">
        <f>E87-F87</f>
        <v>24334924.865999993</v>
      </c>
      <c r="H87" s="11">
        <f>G87-C87*$F$66</f>
        <v>22234924.865999993</v>
      </c>
      <c r="I87" s="11">
        <f>H87-H87*$F$69</f>
        <v>14452701.162899997</v>
      </c>
      <c r="J87" s="2">
        <v>10000000</v>
      </c>
      <c r="K87" s="33">
        <f>I87-J87</f>
        <v>4452701.1628999971</v>
      </c>
    </row>
    <row r="88" spans="2:11" ht="15" x14ac:dyDescent="0.25">
      <c r="B88" s="21">
        <v>80</v>
      </c>
      <c r="C88" s="11">
        <f>$I$52*B88</f>
        <v>280000000</v>
      </c>
      <c r="D88" s="11">
        <f>$J$53*B88</f>
        <v>139506867.02400002</v>
      </c>
      <c r="E88" s="11">
        <f>C88-D88</f>
        <v>140493132.97599998</v>
      </c>
      <c r="F88" s="11">
        <f>C88*SUM($F$56:$F$62)</f>
        <v>75600000</v>
      </c>
      <c r="G88" s="11">
        <f>E88-F88</f>
        <v>64893132.975999981</v>
      </c>
      <c r="H88" s="11">
        <f>G88-C88*$F$66</f>
        <v>59293132.975999981</v>
      </c>
      <c r="I88" s="11">
        <f>H88-H88*$F$69</f>
        <v>38540536.434399992</v>
      </c>
      <c r="J88" s="2">
        <v>10000000</v>
      </c>
      <c r="K88" s="33">
        <f>I88-J88</f>
        <v>28540536.434399992</v>
      </c>
    </row>
    <row r="89" spans="2:11" ht="15" x14ac:dyDescent="0.25">
      <c r="B89" s="21">
        <v>100</v>
      </c>
      <c r="C89" s="11">
        <f>$I$52*B89</f>
        <v>350000000</v>
      </c>
      <c r="D89" s="11">
        <f>$J$53*B89</f>
        <v>174383583.78</v>
      </c>
      <c r="E89" s="11">
        <f>C89-D89</f>
        <v>175616416.22</v>
      </c>
      <c r="F89" s="11">
        <f>C89*SUM($F$56:$F$62)</f>
        <v>94500000</v>
      </c>
      <c r="G89" s="11">
        <f>E89-F89</f>
        <v>81116416.219999999</v>
      </c>
      <c r="H89" s="11">
        <f>G89-C89*$F$66</f>
        <v>74116416.219999999</v>
      </c>
      <c r="I89" s="11">
        <f>H89-H89*$F$69</f>
        <v>48175670.542999998</v>
      </c>
      <c r="J89" s="2">
        <v>10000000</v>
      </c>
      <c r="K89" s="33">
        <f>I89-J89</f>
        <v>38175670.542999998</v>
      </c>
    </row>
    <row r="90" spans="2:11" ht="15" x14ac:dyDescent="0.25">
      <c r="B90" s="21">
        <v>120</v>
      </c>
      <c r="C90" s="11">
        <f>$I$52*B90</f>
        <v>420000000</v>
      </c>
      <c r="D90" s="11">
        <f>$J$53*B90</f>
        <v>209260300.53600001</v>
      </c>
      <c r="E90" s="11">
        <f>C90-D90</f>
        <v>210739699.46399999</v>
      </c>
      <c r="F90" s="11">
        <f>C90*SUM($F$56:$F$62)</f>
        <v>113400000.00000001</v>
      </c>
      <c r="G90" s="11">
        <f>E90-F90</f>
        <v>97339699.463999972</v>
      </c>
      <c r="H90" s="11">
        <f>G90-C90*$F$66</f>
        <v>88939699.463999972</v>
      </c>
      <c r="I90" s="11">
        <f>H90-H90*$F$69</f>
        <v>57810804.651599988</v>
      </c>
      <c r="J90" s="2">
        <v>10000000</v>
      </c>
      <c r="K90" s="33">
        <f>I90-J90</f>
        <v>47810804.651599988</v>
      </c>
    </row>
    <row r="91" spans="2:11" ht="15" x14ac:dyDescent="0.25">
      <c r="B91" s="21">
        <v>150</v>
      </c>
      <c r="C91" s="11">
        <f>$I$52*B91</f>
        <v>525000000</v>
      </c>
      <c r="D91" s="11">
        <f>$J$53*B91</f>
        <v>261575375.67000002</v>
      </c>
      <c r="E91" s="11">
        <f>C91-D91</f>
        <v>263424624.32999998</v>
      </c>
      <c r="F91" s="11">
        <f>C91*SUM($F$56:$F$62)</f>
        <v>141750000</v>
      </c>
      <c r="G91" s="11">
        <f>E91-F91</f>
        <v>121674624.32999998</v>
      </c>
      <c r="H91" s="11">
        <f>G91-C91*$F$66</f>
        <v>111174624.32999998</v>
      </c>
      <c r="I91" s="11">
        <f>H91-H91*$F$69</f>
        <v>72263505.814499989</v>
      </c>
      <c r="J91" s="2">
        <v>10000000</v>
      </c>
      <c r="K91" s="33">
        <f>I91-J91</f>
        <v>62263505.814499989</v>
      </c>
    </row>
    <row r="93" spans="2:11" ht="15" customHeight="1" x14ac:dyDescent="0.2">
      <c r="B93" s="77" t="s">
        <v>50</v>
      </c>
      <c r="C93" s="77"/>
      <c r="D93" s="77"/>
      <c r="E93" s="77"/>
    </row>
    <row r="95" spans="2:11" x14ac:dyDescent="0.2">
      <c r="B95" s="79" t="s">
        <v>88</v>
      </c>
      <c r="C95" s="79"/>
      <c r="D95" s="79"/>
      <c r="E95" s="79"/>
      <c r="F95" s="2"/>
      <c r="G95" s="2"/>
      <c r="H95" s="28">
        <f>I41</f>
        <v>2037729.4412500001</v>
      </c>
      <c r="I95" s="28">
        <f>J41</f>
        <v>1743835.8378000001</v>
      </c>
    </row>
    <row r="96" spans="2:11" x14ac:dyDescent="0.2">
      <c r="B96" s="77"/>
      <c r="C96" s="77"/>
      <c r="D96" s="77"/>
      <c r="E96" s="77"/>
    </row>
    <row r="97" spans="2:9" x14ac:dyDescent="0.2">
      <c r="B97" s="79" t="s">
        <v>51</v>
      </c>
      <c r="C97" s="79"/>
      <c r="D97" s="79"/>
      <c r="E97" s="79"/>
      <c r="F97" s="2"/>
      <c r="G97" s="2"/>
      <c r="H97" s="4">
        <v>0.27</v>
      </c>
      <c r="I97" s="4">
        <v>0.27</v>
      </c>
    </row>
    <row r="98" spans="2:9" x14ac:dyDescent="0.2">
      <c r="B98" s="79" t="s">
        <v>52</v>
      </c>
      <c r="C98" s="79"/>
      <c r="D98" s="79"/>
      <c r="E98" s="79"/>
      <c r="F98" s="2"/>
      <c r="G98" s="2"/>
      <c r="H98" s="2"/>
      <c r="I98" s="2"/>
    </row>
    <row r="99" spans="2:9" x14ac:dyDescent="0.2">
      <c r="B99" s="79" t="s">
        <v>53</v>
      </c>
      <c r="C99" s="79"/>
      <c r="D99" s="79"/>
      <c r="E99" s="79"/>
      <c r="F99" s="2"/>
      <c r="G99" s="2"/>
      <c r="H99" s="4">
        <v>0.02</v>
      </c>
      <c r="I99" s="4">
        <v>0.02</v>
      </c>
    </row>
    <row r="100" spans="2:9" x14ac:dyDescent="0.2">
      <c r="B100" s="79" t="s">
        <v>54</v>
      </c>
      <c r="C100" s="79"/>
      <c r="D100" s="79"/>
      <c r="E100" s="79"/>
      <c r="F100" s="2"/>
      <c r="G100" s="2"/>
      <c r="H100" s="4">
        <v>0.35</v>
      </c>
      <c r="I100" s="4">
        <v>0.35</v>
      </c>
    </row>
    <row r="101" spans="2:9" x14ac:dyDescent="0.2">
      <c r="B101" s="79" t="s">
        <v>55</v>
      </c>
      <c r="C101" s="79"/>
      <c r="D101" s="79"/>
      <c r="E101" s="79"/>
      <c r="F101" s="2"/>
      <c r="G101" s="2"/>
      <c r="H101" s="2">
        <v>10000000</v>
      </c>
      <c r="I101" s="2">
        <v>10000000</v>
      </c>
    </row>
    <row r="102" spans="2:9" x14ac:dyDescent="0.2">
      <c r="B102" s="79" t="s">
        <v>56</v>
      </c>
      <c r="C102" s="79"/>
      <c r="D102" s="79"/>
      <c r="E102" s="79"/>
      <c r="F102" s="2"/>
      <c r="G102" s="2"/>
      <c r="H102" s="2">
        <v>50</v>
      </c>
      <c r="I102" s="2">
        <v>50</v>
      </c>
    </row>
    <row r="103" spans="2:9" x14ac:dyDescent="0.2">
      <c r="B103" s="79" t="s">
        <v>57</v>
      </c>
      <c r="C103" s="79"/>
      <c r="D103" s="79"/>
      <c r="E103" s="79"/>
      <c r="F103" s="2"/>
      <c r="G103" s="2"/>
      <c r="H103" s="2">
        <f>H101/H102</f>
        <v>200000</v>
      </c>
      <c r="I103" s="2">
        <f>I101/I102</f>
        <v>200000</v>
      </c>
    </row>
    <row r="104" spans="2:9" x14ac:dyDescent="0.2">
      <c r="B104" s="79" t="s">
        <v>58</v>
      </c>
      <c r="C104" s="79"/>
      <c r="D104" s="79"/>
      <c r="E104" s="79"/>
      <c r="F104" s="2"/>
      <c r="G104" s="2"/>
      <c r="H104" s="4">
        <v>0.15</v>
      </c>
      <c r="I104" s="4">
        <v>0.15</v>
      </c>
    </row>
    <row r="105" spans="2:9" x14ac:dyDescent="0.2">
      <c r="B105" s="79" t="s">
        <v>59</v>
      </c>
      <c r="C105" s="79"/>
      <c r="D105" s="79"/>
      <c r="E105" s="79"/>
      <c r="F105" s="2"/>
      <c r="G105" s="2"/>
      <c r="H105" s="3">
        <v>500000</v>
      </c>
      <c r="I105" s="3">
        <v>500000</v>
      </c>
    </row>
    <row r="106" spans="2:9" x14ac:dyDescent="0.2">
      <c r="B106" s="77"/>
      <c r="C106" s="77"/>
      <c r="D106" s="77"/>
      <c r="E106" s="77"/>
    </row>
    <row r="107" spans="2:9" x14ac:dyDescent="0.2">
      <c r="B107" s="77" t="s">
        <v>60</v>
      </c>
      <c r="C107" s="77"/>
      <c r="D107" s="77"/>
      <c r="E107" s="77"/>
    </row>
    <row r="108" spans="2:9" x14ac:dyDescent="0.2">
      <c r="B108" s="77"/>
      <c r="C108" s="77"/>
      <c r="D108" s="77"/>
      <c r="E108" s="77"/>
    </row>
    <row r="109" spans="2:9" x14ac:dyDescent="0.2">
      <c r="B109" s="77" t="s">
        <v>61</v>
      </c>
      <c r="C109" s="77"/>
      <c r="D109" s="77"/>
      <c r="E109" s="77"/>
    </row>
    <row r="110" spans="2:9" x14ac:dyDescent="0.2">
      <c r="B110" s="77"/>
      <c r="C110" s="77"/>
      <c r="D110" s="77"/>
      <c r="E110" s="77"/>
    </row>
    <row r="111" spans="2:9" x14ac:dyDescent="0.2">
      <c r="B111" s="77" t="s">
        <v>62</v>
      </c>
      <c r="C111" s="77"/>
      <c r="D111" s="77"/>
      <c r="E111" s="77"/>
    </row>
    <row r="112" spans="2:9" x14ac:dyDescent="0.2">
      <c r="B112" s="77"/>
      <c r="C112" s="77"/>
      <c r="D112" s="77"/>
      <c r="E112" s="77"/>
    </row>
    <row r="113" spans="2:9" x14ac:dyDescent="0.2">
      <c r="B113" s="79" t="s">
        <v>63</v>
      </c>
      <c r="C113" s="79"/>
      <c r="D113" s="79"/>
      <c r="E113" s="79"/>
      <c r="F113" s="2"/>
      <c r="G113" s="2" t="s">
        <v>64</v>
      </c>
      <c r="H113" s="29">
        <f>((1-H100)*(H95+H103))/((1-H100)*(1-H97-H99)-H104)</f>
        <v>4669419.3798154099</v>
      </c>
      <c r="I113" s="29">
        <f>((1-I100)*(I95+I103))/((1-I100)*(1-I97-I99)-I104)</f>
        <v>4056158.249020867</v>
      </c>
    </row>
    <row r="114" spans="2:9" x14ac:dyDescent="0.2">
      <c r="B114" s="77"/>
      <c r="C114" s="77"/>
      <c r="D114" s="77"/>
      <c r="E114" s="77"/>
    </row>
    <row r="115" spans="2:9" x14ac:dyDescent="0.2">
      <c r="B115" s="77" t="s">
        <v>65</v>
      </c>
      <c r="C115" s="77"/>
      <c r="D115" s="77"/>
      <c r="E115" s="77"/>
    </row>
    <row r="116" spans="2:9" x14ac:dyDescent="0.2">
      <c r="B116" s="77"/>
      <c r="C116" s="77"/>
      <c r="D116" s="77"/>
      <c r="E116" s="77"/>
    </row>
    <row r="117" spans="2:9" x14ac:dyDescent="0.2">
      <c r="B117" s="79" t="s">
        <v>66</v>
      </c>
      <c r="C117" s="79"/>
      <c r="D117" s="79"/>
      <c r="E117" s="79"/>
      <c r="F117" s="2"/>
      <c r="G117" s="2" t="s">
        <v>67</v>
      </c>
      <c r="H117" s="29">
        <f>((H105/(1-H100))+H95+H103)/(1-H97-H99)</f>
        <v>4235155.2260292526</v>
      </c>
      <c r="I117" s="29">
        <f>((I105/(1-I100))+I95+I103)/(1-I97-I99)</f>
        <v>3821220.5732827741</v>
      </c>
    </row>
    <row r="118" spans="2:9" x14ac:dyDescent="0.2">
      <c r="B118" s="77"/>
      <c r="C118" s="77"/>
      <c r="D118" s="77"/>
      <c r="E118" s="77"/>
    </row>
    <row r="119" spans="2:9" x14ac:dyDescent="0.2">
      <c r="B119" s="77" t="s">
        <v>68</v>
      </c>
      <c r="C119" s="77"/>
      <c r="D119" s="77"/>
      <c r="E119" s="77"/>
    </row>
    <row r="120" spans="2:9" x14ac:dyDescent="0.2">
      <c r="B120" s="77"/>
      <c r="C120" s="77"/>
      <c r="D120" s="77"/>
      <c r="E120" s="77"/>
    </row>
    <row r="121" spans="2:9" x14ac:dyDescent="0.2">
      <c r="B121" s="79" t="s">
        <v>69</v>
      </c>
      <c r="C121" s="79"/>
      <c r="D121" s="79"/>
      <c r="E121" s="79"/>
      <c r="F121" s="2"/>
      <c r="G121" s="2" t="s">
        <v>70</v>
      </c>
      <c r="H121" s="29">
        <f>(H95+H103)/(1-H97-H99)</f>
        <v>3151731.6073943665</v>
      </c>
      <c r="I121" s="29">
        <f>(I95+I103)/(1-I97-I99)</f>
        <v>2737796.9546478875</v>
      </c>
    </row>
    <row r="122" spans="2:9" x14ac:dyDescent="0.2">
      <c r="B122" s="77"/>
      <c r="C122" s="77"/>
      <c r="D122" s="77"/>
      <c r="E122" s="77"/>
    </row>
    <row r="123" spans="2:9" x14ac:dyDescent="0.2">
      <c r="B123" s="77" t="s">
        <v>71</v>
      </c>
      <c r="C123" s="77"/>
      <c r="D123" s="77"/>
      <c r="E123" s="77"/>
    </row>
    <row r="124" spans="2:9" x14ac:dyDescent="0.2">
      <c r="B124" s="77"/>
      <c r="C124" s="77"/>
      <c r="D124" s="77"/>
      <c r="E124" s="77"/>
    </row>
    <row r="125" spans="2:9" x14ac:dyDescent="0.2">
      <c r="B125" s="77" t="s">
        <v>72</v>
      </c>
      <c r="C125" s="77"/>
      <c r="D125" s="77"/>
      <c r="E125" s="77"/>
    </row>
    <row r="126" spans="2:9" x14ac:dyDescent="0.2">
      <c r="B126" s="77"/>
      <c r="C126" s="77"/>
      <c r="D126" s="77"/>
      <c r="E126" s="77"/>
    </row>
    <row r="127" spans="2:9" x14ac:dyDescent="0.2">
      <c r="B127" s="79" t="s">
        <v>73</v>
      </c>
      <c r="C127" s="79"/>
      <c r="D127" s="79"/>
      <c r="E127" s="79"/>
      <c r="F127" s="2" t="s">
        <v>74</v>
      </c>
      <c r="G127" s="2" t="s">
        <v>64</v>
      </c>
      <c r="H127" s="29">
        <f>(H113*(1-H97-H99)-(H95+H103))*(1-H100)</f>
        <v>700412.90697231132</v>
      </c>
      <c r="I127" s="29">
        <f>(I113*(1-I97-I99)-(I95+I103))*(1-I100)</f>
        <v>608423.73735313013</v>
      </c>
    </row>
    <row r="128" spans="2:9" x14ac:dyDescent="0.2">
      <c r="B128" s="79"/>
      <c r="C128" s="79"/>
      <c r="D128" s="79"/>
      <c r="E128" s="79"/>
      <c r="F128" s="2"/>
      <c r="G128" s="2" t="s">
        <v>67</v>
      </c>
      <c r="H128" s="34">
        <f>(H117*(1-H97-H99)-(H95+H103))*(1-H100)</f>
        <v>499999.99999999988</v>
      </c>
      <c r="I128" s="34">
        <f>(I117*(1-I97-I99)-(I95+I103))*(1-I100)</f>
        <v>500000</v>
      </c>
    </row>
    <row r="129" spans="2:10" x14ac:dyDescent="0.2">
      <c r="B129" s="79"/>
      <c r="C129" s="79"/>
      <c r="D129" s="79"/>
      <c r="E129" s="79"/>
      <c r="F129" s="2"/>
      <c r="G129" s="2" t="s">
        <v>70</v>
      </c>
      <c r="H129" s="29">
        <f>(H121*(1-H97-H99)-(H95+H103))*(1-H100)</f>
        <v>0</v>
      </c>
      <c r="I129" s="29">
        <f>(I121*(1-I97-I99)-(I95+I103))*(1-I100)</f>
        <v>0</v>
      </c>
    </row>
    <row r="130" spans="2:10" x14ac:dyDescent="0.2">
      <c r="B130" s="77"/>
      <c r="C130" s="77"/>
      <c r="D130" s="77"/>
      <c r="E130" s="77"/>
    </row>
    <row r="131" spans="2:10" x14ac:dyDescent="0.2">
      <c r="B131" s="77" t="s">
        <v>75</v>
      </c>
      <c r="C131" s="77"/>
      <c r="D131" s="77"/>
      <c r="E131" s="77"/>
    </row>
    <row r="132" spans="2:10" x14ac:dyDescent="0.2">
      <c r="B132" s="77"/>
      <c r="C132" s="77"/>
      <c r="D132" s="77"/>
      <c r="E132" s="77"/>
    </row>
    <row r="133" spans="2:10" x14ac:dyDescent="0.2">
      <c r="B133" s="107" t="s">
        <v>76</v>
      </c>
      <c r="C133" s="108"/>
      <c r="D133" s="109"/>
      <c r="E133" s="2" t="s">
        <v>77</v>
      </c>
      <c r="F133" s="4">
        <v>0.2</v>
      </c>
      <c r="G133" s="2" t="s">
        <v>78</v>
      </c>
      <c r="H133" s="29">
        <f>H113/(1-$F$133)</f>
        <v>5836774.2247692617</v>
      </c>
      <c r="I133" s="29">
        <f>I113/(1-$F$133)</f>
        <v>5070197.8112760838</v>
      </c>
    </row>
    <row r="134" spans="2:10" x14ac:dyDescent="0.2">
      <c r="B134" s="2"/>
      <c r="C134" s="2"/>
      <c r="D134" s="2"/>
      <c r="E134" s="2"/>
      <c r="F134" s="2"/>
      <c r="G134" s="2" t="s">
        <v>79</v>
      </c>
      <c r="H134" s="29">
        <f>H117/(1-$F$133)</f>
        <v>5293944.0325365653</v>
      </c>
      <c r="I134" s="29">
        <f>I117/(1-$F$133)</f>
        <v>4776525.7166034672</v>
      </c>
    </row>
    <row r="135" spans="2:10" x14ac:dyDescent="0.2">
      <c r="B135" s="2"/>
      <c r="C135" s="2"/>
      <c r="D135" s="2"/>
      <c r="E135" s="2"/>
      <c r="F135" s="2"/>
      <c r="G135" s="2" t="s">
        <v>80</v>
      </c>
      <c r="H135" s="29">
        <f>H121/(1-$F$133)</f>
        <v>3939664.5092429579</v>
      </c>
      <c r="I135" s="29">
        <f>I121/(1-$F$133)</f>
        <v>3422246.1933098594</v>
      </c>
    </row>
    <row r="136" spans="2:10" x14ac:dyDescent="0.2">
      <c r="H136" s="31"/>
      <c r="I136" s="31"/>
    </row>
    <row r="137" spans="2:10" x14ac:dyDescent="0.2">
      <c r="B137" s="77" t="s">
        <v>81</v>
      </c>
      <c r="C137" s="77"/>
      <c r="D137" s="77"/>
      <c r="E137" s="77"/>
      <c r="J137" s="31"/>
    </row>
    <row r="138" spans="2:10" x14ac:dyDescent="0.2">
      <c r="B138" s="77"/>
      <c r="C138" s="77"/>
      <c r="D138" s="77"/>
      <c r="E138" s="77"/>
    </row>
    <row r="139" spans="2:10" x14ac:dyDescent="0.2">
      <c r="F139" s="30"/>
      <c r="G139" s="30"/>
      <c r="H139" s="30"/>
      <c r="I139" s="30"/>
    </row>
    <row r="140" spans="2:10" x14ac:dyDescent="0.2">
      <c r="B140" s="79" t="s">
        <v>82</v>
      </c>
      <c r="C140" s="79"/>
      <c r="D140" s="79"/>
      <c r="E140" s="2" t="s">
        <v>5</v>
      </c>
      <c r="F140" s="4">
        <v>0.19</v>
      </c>
      <c r="G140" s="2" t="s">
        <v>83</v>
      </c>
      <c r="H140" s="29">
        <f t="shared" ref="H140:I142" si="4">H133*(1+$F$140)</f>
        <v>6945761.3274754211</v>
      </c>
      <c r="I140" s="29">
        <f t="shared" si="4"/>
        <v>6033535.3954185396</v>
      </c>
    </row>
    <row r="141" spans="2:10" x14ac:dyDescent="0.2">
      <c r="F141" s="2"/>
      <c r="G141" s="2" t="s">
        <v>84</v>
      </c>
      <c r="H141" s="29">
        <f t="shared" si="4"/>
        <v>6299793.3987185126</v>
      </c>
      <c r="I141" s="29">
        <f t="shared" si="4"/>
        <v>5684065.6027581254</v>
      </c>
    </row>
    <row r="142" spans="2:10" x14ac:dyDescent="0.2">
      <c r="F142" s="2"/>
      <c r="G142" s="2" t="s">
        <v>85</v>
      </c>
      <c r="H142" s="29">
        <f t="shared" si="4"/>
        <v>4688200.7659991197</v>
      </c>
      <c r="I142" s="29">
        <f t="shared" si="4"/>
        <v>4072472.9700387325</v>
      </c>
    </row>
  </sheetData>
  <mergeCells count="88">
    <mergeCell ref="H2:P2"/>
    <mergeCell ref="H4:J4"/>
    <mergeCell ref="B6:E11"/>
    <mergeCell ref="F10:F11"/>
    <mergeCell ref="B12:E18"/>
    <mergeCell ref="F17:F18"/>
    <mergeCell ref="B52:E52"/>
    <mergeCell ref="B19:E24"/>
    <mergeCell ref="F23:F24"/>
    <mergeCell ref="B25:E30"/>
    <mergeCell ref="F29:F30"/>
    <mergeCell ref="B31:F32"/>
    <mergeCell ref="B33:D37"/>
    <mergeCell ref="E36:F37"/>
    <mergeCell ref="B38:F39"/>
    <mergeCell ref="B41:F42"/>
    <mergeCell ref="B44:F45"/>
    <mergeCell ref="B46:F47"/>
    <mergeCell ref="B49:F50"/>
    <mergeCell ref="B64:E64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76:E76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103:E103"/>
    <mergeCell ref="B77:K77"/>
    <mergeCell ref="B85:K85"/>
    <mergeCell ref="B93:E93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15:E115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27:E127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37:E137"/>
    <mergeCell ref="B138:E138"/>
    <mergeCell ref="B140:D140"/>
    <mergeCell ref="B128:E128"/>
    <mergeCell ref="B129:E129"/>
    <mergeCell ref="B130:E130"/>
    <mergeCell ref="B131:E131"/>
    <mergeCell ref="B132:E132"/>
    <mergeCell ref="B133:D133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F451-735A-4817-B8C4-58A0C5C44FDE}">
  <dimension ref="B2:Q142"/>
  <sheetViews>
    <sheetView topLeftCell="A23" zoomScale="55" zoomScaleNormal="55" workbookViewId="0">
      <selection activeCell="J52" sqref="J52"/>
    </sheetView>
  </sheetViews>
  <sheetFormatPr defaultColWidth="9.140625" defaultRowHeight="14.25" x14ac:dyDescent="0.2"/>
  <cols>
    <col min="1" max="1" width="9.140625" style="1"/>
    <col min="2" max="2" width="15.7109375" style="1" bestFit="1" customWidth="1"/>
    <col min="3" max="3" width="17" style="1" bestFit="1" customWidth="1"/>
    <col min="4" max="4" width="15.7109375" style="1" bestFit="1" customWidth="1"/>
    <col min="5" max="5" width="18.85546875" style="1" bestFit="1" customWidth="1"/>
    <col min="6" max="6" width="15.42578125" style="1" bestFit="1" customWidth="1"/>
    <col min="7" max="7" width="20.7109375" style="1" bestFit="1" customWidth="1"/>
    <col min="8" max="8" width="31.28515625" style="1" bestFit="1" customWidth="1"/>
    <col min="9" max="9" width="29.42578125" style="1" bestFit="1" customWidth="1"/>
    <col min="10" max="10" width="25.140625" style="1" bestFit="1" customWidth="1"/>
    <col min="11" max="11" width="18.85546875" style="1" bestFit="1" customWidth="1"/>
    <col min="12" max="12" width="14.7109375" style="1" bestFit="1" customWidth="1"/>
    <col min="13" max="13" width="16" style="1" bestFit="1" customWidth="1"/>
    <col min="14" max="14" width="14.7109375" style="1" bestFit="1" customWidth="1"/>
    <col min="15" max="15" width="16" style="1" bestFit="1" customWidth="1"/>
    <col min="16" max="16" width="24.5703125" style="1" bestFit="1" customWidth="1"/>
    <col min="17" max="17" width="14.7109375" style="1" bestFit="1" customWidth="1"/>
    <col min="18" max="18" width="12.85546875" style="1" bestFit="1" customWidth="1"/>
    <col min="19" max="19" width="15.140625" style="1" bestFit="1" customWidth="1"/>
    <col min="20" max="20" width="19.5703125" style="1" bestFit="1" customWidth="1"/>
    <col min="21" max="21" width="22" style="1" bestFit="1" customWidth="1"/>
    <col min="22" max="23" width="19.5703125" style="1" bestFit="1" customWidth="1"/>
    <col min="24" max="24" width="22" style="1" bestFit="1" customWidth="1"/>
    <col min="25" max="16384" width="9.140625" style="1"/>
  </cols>
  <sheetData>
    <row r="2" spans="2:16" ht="15.75" x14ac:dyDescent="0.25">
      <c r="B2" s="21" t="s">
        <v>0</v>
      </c>
      <c r="C2" s="5">
        <v>4150</v>
      </c>
      <c r="H2" s="78"/>
      <c r="I2" s="78"/>
      <c r="J2" s="78"/>
      <c r="K2" s="78"/>
      <c r="L2" s="78"/>
      <c r="M2" s="78"/>
      <c r="N2" s="78"/>
      <c r="O2" s="78"/>
      <c r="P2" s="78"/>
    </row>
    <row r="3" spans="2:16" ht="18" x14ac:dyDescent="0.25">
      <c r="E3" s="9"/>
      <c r="F3" s="9"/>
      <c r="G3" s="9"/>
    </row>
    <row r="4" spans="2:16" ht="15.75" x14ac:dyDescent="0.2">
      <c r="H4" s="80"/>
      <c r="I4" s="81"/>
      <c r="J4" s="82"/>
    </row>
    <row r="5" spans="2:16" ht="15.75" x14ac:dyDescent="0.2">
      <c r="H5" s="20">
        <v>1</v>
      </c>
      <c r="I5" s="20">
        <v>50</v>
      </c>
      <c r="J5" s="20">
        <v>100</v>
      </c>
      <c r="K5" s="35"/>
    </row>
    <row r="6" spans="2:16" ht="14.25" customHeight="1" x14ac:dyDescent="0.2">
      <c r="B6" s="90" t="s">
        <v>1</v>
      </c>
      <c r="C6" s="91"/>
      <c r="D6" s="91"/>
      <c r="E6" s="92"/>
      <c r="F6" s="2" t="s">
        <v>2</v>
      </c>
      <c r="G6" s="2"/>
      <c r="H6" s="3">
        <v>220</v>
      </c>
      <c r="I6" s="3">
        <v>8200</v>
      </c>
      <c r="J6" s="3">
        <v>15800</v>
      </c>
      <c r="K6" s="36"/>
      <c r="L6" s="74"/>
      <c r="M6" s="10"/>
      <c r="N6" s="10"/>
    </row>
    <row r="7" spans="2:16" ht="14.25" customHeight="1" x14ac:dyDescent="0.2">
      <c r="B7" s="93"/>
      <c r="C7" s="94"/>
      <c r="D7" s="94"/>
      <c r="E7" s="95"/>
      <c r="F7" s="2" t="s">
        <v>3</v>
      </c>
      <c r="G7" s="3">
        <v>100</v>
      </c>
      <c r="H7" s="3">
        <v>10</v>
      </c>
      <c r="I7" s="3">
        <v>100</v>
      </c>
      <c r="J7" s="3">
        <v>100</v>
      </c>
      <c r="K7" s="36"/>
    </row>
    <row r="8" spans="2:16" ht="14.25" customHeight="1" x14ac:dyDescent="0.2">
      <c r="B8" s="93"/>
      <c r="C8" s="94"/>
      <c r="D8" s="94"/>
      <c r="E8" s="95"/>
      <c r="F8" s="48" t="s">
        <v>4</v>
      </c>
      <c r="G8" s="49">
        <v>0.1</v>
      </c>
      <c r="H8" s="50">
        <f>SUM(H6:H7)*$G$8</f>
        <v>23</v>
      </c>
      <c r="I8" s="50">
        <f>SUM(I6:I7)*$G$8</f>
        <v>830</v>
      </c>
      <c r="J8" s="50">
        <f>SUM(J6:J7)*$G$8</f>
        <v>1590</v>
      </c>
      <c r="K8" s="36"/>
    </row>
    <row r="9" spans="2:16" ht="14.25" customHeight="1" x14ac:dyDescent="0.2">
      <c r="B9" s="93"/>
      <c r="C9" s="94"/>
      <c r="D9" s="94"/>
      <c r="E9" s="95"/>
      <c r="F9" s="45" t="s">
        <v>5</v>
      </c>
      <c r="G9" s="46">
        <v>0.19</v>
      </c>
      <c r="H9" s="47">
        <f>SUM(H6:H8)*$G$9</f>
        <v>48.07</v>
      </c>
      <c r="I9" s="47">
        <f>SUM(I6:I8)*$G$9</f>
        <v>1734.7</v>
      </c>
      <c r="J9" s="47">
        <f>SUM(J6:J8)*$G$9</f>
        <v>3323.1</v>
      </c>
      <c r="K9" s="36"/>
    </row>
    <row r="10" spans="2:16" ht="15" customHeight="1" x14ac:dyDescent="0.25">
      <c r="B10" s="93"/>
      <c r="C10" s="94"/>
      <c r="D10" s="94"/>
      <c r="E10" s="95"/>
      <c r="F10" s="75" t="s">
        <v>6</v>
      </c>
      <c r="G10" s="21" t="s">
        <v>94</v>
      </c>
      <c r="H10" s="5">
        <f>SUM(H6:H9)</f>
        <v>301.07</v>
      </c>
      <c r="I10" s="5">
        <f>SUM(I6:I9)</f>
        <v>10864.7</v>
      </c>
      <c r="J10" s="5">
        <f>SUM(J6:J9)</f>
        <v>20813.099999999999</v>
      </c>
      <c r="K10" s="37"/>
    </row>
    <row r="11" spans="2:16" ht="15" customHeight="1" thickBot="1" x14ac:dyDescent="0.3">
      <c r="B11" s="96"/>
      <c r="C11" s="97"/>
      <c r="D11" s="97"/>
      <c r="E11" s="98"/>
      <c r="F11" s="76"/>
      <c r="G11" s="55" t="s">
        <v>95</v>
      </c>
      <c r="H11" s="56">
        <f>H10/H5</f>
        <v>301.07</v>
      </c>
      <c r="I11" s="56">
        <f>I10/I5</f>
        <v>217.29400000000001</v>
      </c>
      <c r="J11" s="56">
        <f>J10/J5</f>
        <v>208.13099999999997</v>
      </c>
      <c r="K11" s="37"/>
    </row>
    <row r="12" spans="2:16" ht="14.25" customHeight="1" thickTop="1" x14ac:dyDescent="0.2">
      <c r="B12" s="99" t="s">
        <v>7</v>
      </c>
      <c r="C12" s="100"/>
      <c r="D12" s="100"/>
      <c r="E12" s="101"/>
      <c r="F12" s="57" t="s">
        <v>8</v>
      </c>
      <c r="G12" s="57"/>
      <c r="H12" s="58">
        <f>(65-H13)/5</f>
        <v>9.6</v>
      </c>
      <c r="I12" s="58">
        <v>172</v>
      </c>
      <c r="J12" s="58">
        <v>314</v>
      </c>
      <c r="K12" s="36"/>
    </row>
    <row r="13" spans="2:16" ht="14.25" customHeight="1" x14ac:dyDescent="0.2">
      <c r="B13" s="93"/>
      <c r="C13" s="94"/>
      <c r="D13" s="94"/>
      <c r="E13" s="95"/>
      <c r="F13" s="2" t="s">
        <v>9</v>
      </c>
      <c r="G13" s="2"/>
      <c r="H13" s="3">
        <f>7+5+5</f>
        <v>17</v>
      </c>
      <c r="I13" s="3">
        <v>17</v>
      </c>
      <c r="J13" s="3">
        <v>17</v>
      </c>
      <c r="K13" s="36"/>
    </row>
    <row r="14" spans="2:16" ht="14.25" customHeight="1" x14ac:dyDescent="0.2">
      <c r="B14" s="93"/>
      <c r="C14" s="94"/>
      <c r="D14" s="94"/>
      <c r="E14" s="95"/>
      <c r="F14" s="2" t="s">
        <v>3</v>
      </c>
      <c r="G14" s="2"/>
      <c r="H14" s="3">
        <v>50</v>
      </c>
      <c r="I14" s="3">
        <v>120</v>
      </c>
      <c r="J14" s="3">
        <v>170</v>
      </c>
      <c r="K14" s="36"/>
    </row>
    <row r="15" spans="2:16" ht="14.25" customHeight="1" x14ac:dyDescent="0.2">
      <c r="B15" s="93"/>
      <c r="C15" s="94"/>
      <c r="D15" s="94"/>
      <c r="E15" s="95"/>
      <c r="F15" s="48" t="s">
        <v>4</v>
      </c>
      <c r="G15" s="49">
        <v>0.1</v>
      </c>
      <c r="H15" s="50">
        <f>SUM(H12:H14)*$G$15</f>
        <v>7.66</v>
      </c>
      <c r="I15" s="50">
        <f>SUM(I12:I14)*$G$15</f>
        <v>30.900000000000002</v>
      </c>
      <c r="J15" s="50">
        <f>SUM(J12:J14)*$G$15</f>
        <v>50.1</v>
      </c>
      <c r="K15" s="36"/>
    </row>
    <row r="16" spans="2:16" ht="14.25" customHeight="1" x14ac:dyDescent="0.2">
      <c r="B16" s="93"/>
      <c r="C16" s="94"/>
      <c r="D16" s="94"/>
      <c r="E16" s="95"/>
      <c r="F16" s="45" t="s">
        <v>5</v>
      </c>
      <c r="G16" s="46">
        <v>0.19</v>
      </c>
      <c r="H16" s="47">
        <f>SUM(H12:H15)*$G$16</f>
        <v>16.009399999999999</v>
      </c>
      <c r="I16" s="47">
        <f>SUM(I12:I15)*$G$16</f>
        <v>64.581000000000003</v>
      </c>
      <c r="J16" s="47">
        <f>SUM(J12:J15)*$G$16</f>
        <v>104.709</v>
      </c>
      <c r="K16" s="36"/>
    </row>
    <row r="17" spans="2:11" ht="15" customHeight="1" x14ac:dyDescent="0.25">
      <c r="B17" s="93"/>
      <c r="C17" s="94"/>
      <c r="D17" s="94"/>
      <c r="E17" s="95"/>
      <c r="F17" s="75" t="s">
        <v>6</v>
      </c>
      <c r="G17" s="21" t="s">
        <v>94</v>
      </c>
      <c r="H17" s="5">
        <f>SUM(H12:H16)</f>
        <v>100.26939999999999</v>
      </c>
      <c r="I17" s="5">
        <f>SUM(I12:I16)</f>
        <v>404.48099999999999</v>
      </c>
      <c r="J17" s="5">
        <f>SUM(J12:J16)</f>
        <v>655.80899999999997</v>
      </c>
      <c r="K17" s="37"/>
    </row>
    <row r="18" spans="2:11" ht="15" customHeight="1" thickBot="1" x14ac:dyDescent="0.3">
      <c r="B18" s="96"/>
      <c r="C18" s="97"/>
      <c r="D18" s="97"/>
      <c r="E18" s="98"/>
      <c r="F18" s="76"/>
      <c r="G18" s="55" t="s">
        <v>95</v>
      </c>
      <c r="H18" s="56">
        <f>H17/H5</f>
        <v>100.26939999999999</v>
      </c>
      <c r="I18" s="56">
        <f>I17/I5</f>
        <v>8.08962</v>
      </c>
      <c r="J18" s="56">
        <f>J17/J5</f>
        <v>6.55809</v>
      </c>
      <c r="K18" s="37"/>
    </row>
    <row r="19" spans="2:11" ht="15" customHeight="1" thickTop="1" x14ac:dyDescent="0.25">
      <c r="B19" s="99" t="s">
        <v>15</v>
      </c>
      <c r="C19" s="100"/>
      <c r="D19" s="100"/>
      <c r="E19" s="101"/>
      <c r="F19" s="57" t="s">
        <v>16</v>
      </c>
      <c r="G19" s="57"/>
      <c r="H19" s="58">
        <v>15</v>
      </c>
      <c r="I19" s="58">
        <v>736</v>
      </c>
      <c r="J19" s="58">
        <v>1443</v>
      </c>
      <c r="K19" s="37"/>
    </row>
    <row r="20" spans="2:11" ht="15" customHeight="1" x14ac:dyDescent="0.25">
      <c r="B20" s="93"/>
      <c r="C20" s="94"/>
      <c r="D20" s="94"/>
      <c r="E20" s="95"/>
      <c r="F20" s="2" t="s">
        <v>3</v>
      </c>
      <c r="G20" s="3"/>
      <c r="H20" s="3">
        <v>41</v>
      </c>
      <c r="I20" s="3">
        <v>342</v>
      </c>
      <c r="J20" s="3">
        <v>655</v>
      </c>
      <c r="K20" s="37"/>
    </row>
    <row r="21" spans="2:11" ht="15" customHeight="1" x14ac:dyDescent="0.25">
      <c r="B21" s="93"/>
      <c r="C21" s="94"/>
      <c r="D21" s="94"/>
      <c r="E21" s="95"/>
      <c r="F21" s="48" t="s">
        <v>4</v>
      </c>
      <c r="G21" s="49">
        <v>0.1</v>
      </c>
      <c r="H21" s="50">
        <f>H19*$G$21</f>
        <v>1.5</v>
      </c>
      <c r="I21" s="50">
        <f>I19*$G$21</f>
        <v>73.600000000000009</v>
      </c>
      <c r="J21" s="50">
        <f>J19*$G$21</f>
        <v>144.30000000000001</v>
      </c>
      <c r="K21" s="37"/>
    </row>
    <row r="22" spans="2:11" ht="15" customHeight="1" x14ac:dyDescent="0.25">
      <c r="B22" s="93"/>
      <c r="C22" s="94"/>
      <c r="D22" s="94"/>
      <c r="E22" s="95"/>
      <c r="F22" s="45" t="s">
        <v>5</v>
      </c>
      <c r="G22" s="46">
        <v>0.19</v>
      </c>
      <c r="H22" s="47">
        <f>(H19+H21)*$G$22</f>
        <v>3.1350000000000002</v>
      </c>
      <c r="I22" s="47">
        <f>(I19+I21)*$G$22</f>
        <v>153.82400000000001</v>
      </c>
      <c r="J22" s="47">
        <f>(J19+J21)*$G$22</f>
        <v>301.58699999999999</v>
      </c>
      <c r="K22" s="37"/>
    </row>
    <row r="23" spans="2:11" ht="15" customHeight="1" x14ac:dyDescent="0.25">
      <c r="B23" s="93"/>
      <c r="C23" s="94"/>
      <c r="D23" s="94"/>
      <c r="E23" s="95"/>
      <c r="F23" s="75" t="s">
        <v>6</v>
      </c>
      <c r="G23" s="21" t="s">
        <v>94</v>
      </c>
      <c r="H23" s="5">
        <f>SUM(H19:H22)</f>
        <v>60.634999999999998</v>
      </c>
      <c r="I23" s="5">
        <f>SUM(I19:I22)</f>
        <v>1305.424</v>
      </c>
      <c r="J23" s="5">
        <f>SUM(J19:J22)</f>
        <v>2543.8870000000002</v>
      </c>
      <c r="K23" s="37"/>
    </row>
    <row r="24" spans="2:11" ht="15" customHeight="1" thickBot="1" x14ac:dyDescent="0.3">
      <c r="B24" s="96"/>
      <c r="C24" s="97"/>
      <c r="D24" s="97"/>
      <c r="E24" s="98"/>
      <c r="F24" s="76"/>
      <c r="G24" s="55" t="s">
        <v>95</v>
      </c>
      <c r="H24" s="56">
        <f>H23/H5</f>
        <v>60.634999999999998</v>
      </c>
      <c r="I24" s="56">
        <f>I23/I5</f>
        <v>26.10848</v>
      </c>
      <c r="J24" s="56">
        <f>J23/J5</f>
        <v>25.438870000000001</v>
      </c>
      <c r="K24" s="37"/>
    </row>
    <row r="25" spans="2:11" ht="15" customHeight="1" thickTop="1" x14ac:dyDescent="0.25">
      <c r="B25" s="99" t="s">
        <v>87</v>
      </c>
      <c r="C25" s="100"/>
      <c r="D25" s="100"/>
      <c r="E25" s="101"/>
      <c r="F25" s="53" t="s">
        <v>86</v>
      </c>
      <c r="G25" s="60"/>
      <c r="H25" s="54">
        <v>150</v>
      </c>
      <c r="I25" s="54">
        <f>H25*I5</f>
        <v>7500</v>
      </c>
      <c r="J25" s="54">
        <f>H25*J5</f>
        <v>15000</v>
      </c>
      <c r="K25" s="37"/>
    </row>
    <row r="26" spans="2:11" ht="15" customHeight="1" x14ac:dyDescent="0.25">
      <c r="B26" s="93"/>
      <c r="C26" s="94"/>
      <c r="D26" s="94"/>
      <c r="E26" s="95"/>
      <c r="F26" s="2" t="s">
        <v>3</v>
      </c>
      <c r="G26" s="3"/>
      <c r="H26" s="3">
        <v>10</v>
      </c>
      <c r="I26" s="3">
        <f>H26*I5</f>
        <v>500</v>
      </c>
      <c r="J26" s="3">
        <f>+H26*J5</f>
        <v>1000</v>
      </c>
      <c r="K26" s="37"/>
    </row>
    <row r="27" spans="2:11" ht="15" customHeight="1" x14ac:dyDescent="0.25">
      <c r="B27" s="93"/>
      <c r="C27" s="94"/>
      <c r="D27" s="94"/>
      <c r="E27" s="95"/>
      <c r="F27" s="48" t="s">
        <v>4</v>
      </c>
      <c r="G27" s="49">
        <v>0.1</v>
      </c>
      <c r="H27" s="50">
        <f>H25*$G$27</f>
        <v>15</v>
      </c>
      <c r="I27" s="50">
        <f>I25*$G$27</f>
        <v>750</v>
      </c>
      <c r="J27" s="50">
        <f>J25*$G$27</f>
        <v>1500</v>
      </c>
      <c r="K27" s="37"/>
    </row>
    <row r="28" spans="2:11" ht="15" customHeight="1" x14ac:dyDescent="0.25">
      <c r="B28" s="93"/>
      <c r="C28" s="94"/>
      <c r="D28" s="94"/>
      <c r="E28" s="95"/>
      <c r="F28" s="45" t="s">
        <v>5</v>
      </c>
      <c r="G28" s="46">
        <v>0.19</v>
      </c>
      <c r="H28" s="47">
        <f>(H25+H27)*$G$28</f>
        <v>31.35</v>
      </c>
      <c r="I28" s="47">
        <f>(I25+I27)*$G$28</f>
        <v>1567.5</v>
      </c>
      <c r="J28" s="47">
        <f>(J25+J27)*$G$28</f>
        <v>3135</v>
      </c>
      <c r="K28" s="37"/>
    </row>
    <row r="29" spans="2:11" ht="15" customHeight="1" x14ac:dyDescent="0.25">
      <c r="B29" s="93"/>
      <c r="C29" s="94"/>
      <c r="D29" s="94"/>
      <c r="E29" s="95"/>
      <c r="F29" s="75" t="s">
        <v>6</v>
      </c>
      <c r="G29" s="21" t="s">
        <v>94</v>
      </c>
      <c r="H29" s="5">
        <f>SUM(H25:H28)</f>
        <v>206.35</v>
      </c>
      <c r="I29" s="5">
        <f>SUM(I25:I28)</f>
        <v>10317.5</v>
      </c>
      <c r="J29" s="5">
        <f>SUM(J25:J28)</f>
        <v>20635</v>
      </c>
      <c r="K29" s="37"/>
    </row>
    <row r="30" spans="2:11" ht="15" customHeight="1" thickBot="1" x14ac:dyDescent="0.3">
      <c r="B30" s="96"/>
      <c r="C30" s="97"/>
      <c r="D30" s="97"/>
      <c r="E30" s="98"/>
      <c r="F30" s="76"/>
      <c r="G30" s="55" t="s">
        <v>95</v>
      </c>
      <c r="H30" s="56">
        <f>H29/H5</f>
        <v>206.35</v>
      </c>
      <c r="I30" s="56">
        <f>I29/I5</f>
        <v>206.35</v>
      </c>
      <c r="J30" s="56">
        <f>J29/J5</f>
        <v>206.35</v>
      </c>
      <c r="K30" s="37"/>
    </row>
    <row r="31" spans="2:11" ht="15" customHeight="1" thickTop="1" x14ac:dyDescent="0.25">
      <c r="B31" s="84" t="s">
        <v>97</v>
      </c>
      <c r="C31" s="85"/>
      <c r="D31" s="85"/>
      <c r="E31" s="85"/>
      <c r="F31" s="86"/>
      <c r="G31" s="61" t="s">
        <v>90</v>
      </c>
      <c r="H31" s="62">
        <f>SUM(H29,H23,H17,H10)</f>
        <v>668.32439999999997</v>
      </c>
      <c r="I31" s="62">
        <f>SUM(I29,I23,I17,I10)</f>
        <v>22892.105</v>
      </c>
      <c r="J31" s="62">
        <f>SUM(J29,J23,J17,J10)</f>
        <v>44647.796000000002</v>
      </c>
      <c r="K31" s="37"/>
    </row>
    <row r="32" spans="2:11" ht="15" customHeight="1" thickBot="1" x14ac:dyDescent="0.3">
      <c r="B32" s="87"/>
      <c r="C32" s="88"/>
      <c r="D32" s="88"/>
      <c r="E32" s="88"/>
      <c r="F32" s="89"/>
      <c r="G32" s="63" t="s">
        <v>91</v>
      </c>
      <c r="H32" s="59">
        <f>SUM(H17,H10,H23,H29)*$C$2</f>
        <v>2773546.26</v>
      </c>
      <c r="I32" s="59">
        <f>SUM(I17,I10,I23,I29)*$C$2</f>
        <v>95002235.75</v>
      </c>
      <c r="J32" s="59">
        <f>SUM(J17,J10,J23,J29)*$C$2</f>
        <v>185288353.40000001</v>
      </c>
      <c r="K32" s="37"/>
    </row>
    <row r="33" spans="2:11" ht="14.25" customHeight="1" thickTop="1" x14ac:dyDescent="0.2">
      <c r="B33" s="105" t="s">
        <v>96</v>
      </c>
      <c r="C33" s="105"/>
      <c r="D33" s="105"/>
      <c r="E33" s="53" t="s">
        <v>10</v>
      </c>
      <c r="F33" s="60">
        <v>0.05</v>
      </c>
      <c r="G33" s="60"/>
      <c r="H33" s="54">
        <f>H32*$F$33</f>
        <v>138677.31299999999</v>
      </c>
      <c r="I33" s="54">
        <f>I32*$F$33</f>
        <v>4750111.7875000006</v>
      </c>
      <c r="J33" s="54">
        <f>J32*$F$33</f>
        <v>9264417.6699999999</v>
      </c>
      <c r="K33" s="36"/>
    </row>
    <row r="34" spans="2:11" ht="14.25" customHeight="1" x14ac:dyDescent="0.2">
      <c r="B34" s="106"/>
      <c r="C34" s="106"/>
      <c r="D34" s="106"/>
      <c r="E34" s="2" t="s">
        <v>11</v>
      </c>
      <c r="F34" s="6">
        <v>1000</v>
      </c>
      <c r="G34" s="7">
        <v>32</v>
      </c>
      <c r="H34" s="3">
        <v>60000</v>
      </c>
      <c r="I34" s="3">
        <v>85000</v>
      </c>
      <c r="J34" s="3">
        <v>145000</v>
      </c>
      <c r="K34" s="36"/>
    </row>
    <row r="35" spans="2:11" ht="14.25" customHeight="1" x14ac:dyDescent="0.2">
      <c r="B35" s="106"/>
      <c r="C35" s="106"/>
      <c r="D35" s="106"/>
      <c r="E35" s="2" t="s">
        <v>12</v>
      </c>
      <c r="F35" s="6">
        <f>ROUND(1400000/30,0)/8</f>
        <v>5833.375</v>
      </c>
      <c r="G35" s="7">
        <v>64</v>
      </c>
      <c r="H35" s="3">
        <v>120000</v>
      </c>
      <c r="I35" s="3">
        <v>712500</v>
      </c>
      <c r="J35" s="3">
        <v>1325000</v>
      </c>
      <c r="K35" s="36">
        <f>+J34+J35</f>
        <v>1470000</v>
      </c>
    </row>
    <row r="36" spans="2:11" ht="14.25" customHeight="1" x14ac:dyDescent="0.25">
      <c r="B36" s="106"/>
      <c r="C36" s="106"/>
      <c r="D36" s="106"/>
      <c r="E36" s="110" t="s">
        <v>6</v>
      </c>
      <c r="F36" s="111"/>
      <c r="G36" s="21" t="s">
        <v>94</v>
      </c>
      <c r="H36" s="5">
        <f>SUM(H33:H35)</f>
        <v>318677.31299999997</v>
      </c>
      <c r="I36" s="5">
        <f>SUM(I33:I35)</f>
        <v>5547611.7875000006</v>
      </c>
      <c r="J36" s="5">
        <f>SUM(J33:J35)</f>
        <v>10734417.67</v>
      </c>
      <c r="K36" s="36">
        <f>+K35/50</f>
        <v>29400</v>
      </c>
    </row>
    <row r="37" spans="2:11" ht="14.25" customHeight="1" thickBot="1" x14ac:dyDescent="0.25">
      <c r="B37" s="106"/>
      <c r="C37" s="106"/>
      <c r="D37" s="106"/>
      <c r="E37" s="112"/>
      <c r="F37" s="113"/>
      <c r="G37" s="55" t="s">
        <v>95</v>
      </c>
      <c r="H37" s="56">
        <f>H36/H5</f>
        <v>318677.31299999997</v>
      </c>
      <c r="I37" s="56">
        <f>I36/I5</f>
        <v>110952.23575000001</v>
      </c>
      <c r="J37" s="56">
        <f>J36/J5</f>
        <v>107344.1767</v>
      </c>
      <c r="K37" s="36"/>
    </row>
    <row r="38" spans="2:11" ht="18.75" thickTop="1" x14ac:dyDescent="0.25">
      <c r="B38" s="114" t="s">
        <v>13</v>
      </c>
      <c r="C38" s="115"/>
      <c r="D38" s="115"/>
      <c r="E38" s="115"/>
      <c r="F38" s="116"/>
      <c r="G38" s="43" t="s">
        <v>91</v>
      </c>
      <c r="H38" s="8">
        <f>SUM(H32:H35)</f>
        <v>3092223.5729999999</v>
      </c>
      <c r="I38" s="8">
        <f>SUM(I32:I35)</f>
        <v>100549847.53749999</v>
      </c>
      <c r="J38" s="8">
        <f>SUM(J32:J35)</f>
        <v>196022771.06999999</v>
      </c>
      <c r="K38" s="38"/>
    </row>
    <row r="39" spans="2:11" ht="18" x14ac:dyDescent="0.25">
      <c r="B39" s="117"/>
      <c r="C39" s="118"/>
      <c r="D39" s="118"/>
      <c r="E39" s="118"/>
      <c r="F39" s="119"/>
      <c r="G39" s="40" t="s">
        <v>90</v>
      </c>
      <c r="H39" s="8">
        <f>H38/$C$2</f>
        <v>745.11411397590359</v>
      </c>
      <c r="I39" s="8">
        <f>I38/$C$2</f>
        <v>24228.878924698794</v>
      </c>
      <c r="J39" s="8">
        <f>J38/$C$2</f>
        <v>47234.402667469876</v>
      </c>
      <c r="K39" s="42"/>
    </row>
    <row r="40" spans="2:11" ht="18" x14ac:dyDescent="0.25">
      <c r="B40" s="64"/>
      <c r="C40" s="64"/>
      <c r="D40" s="64"/>
      <c r="E40" s="64"/>
      <c r="F40" s="64"/>
      <c r="G40" s="65"/>
      <c r="H40" s="66"/>
      <c r="I40" s="66"/>
      <c r="J40" s="66"/>
      <c r="K40" s="42"/>
    </row>
    <row r="41" spans="2:11" ht="18" x14ac:dyDescent="0.25">
      <c r="B41" s="83" t="s">
        <v>14</v>
      </c>
      <c r="C41" s="83"/>
      <c r="D41" s="83"/>
      <c r="E41" s="83"/>
      <c r="F41" s="83"/>
      <c r="G41" s="43" t="s">
        <v>91</v>
      </c>
      <c r="H41" s="8">
        <f>H38/H5</f>
        <v>3092223.5729999999</v>
      </c>
      <c r="I41" s="8">
        <f>I38/I5</f>
        <v>2010996.9507499998</v>
      </c>
      <c r="J41" s="8">
        <f>J38/J5</f>
        <v>1960227.7106999999</v>
      </c>
      <c r="K41" s="42"/>
    </row>
    <row r="42" spans="2:11" ht="18" x14ac:dyDescent="0.25">
      <c r="B42" s="83"/>
      <c r="C42" s="83"/>
      <c r="D42" s="83"/>
      <c r="E42" s="83"/>
      <c r="F42" s="83"/>
      <c r="G42" s="40" t="s">
        <v>90</v>
      </c>
      <c r="H42" s="8">
        <f>H41/$C$2</f>
        <v>745.11411397590359</v>
      </c>
      <c r="I42" s="8">
        <f>I41/$C$2</f>
        <v>484.57757849397586</v>
      </c>
      <c r="J42" s="8">
        <f>J41/$C$2</f>
        <v>472.3440266746988</v>
      </c>
      <c r="K42" s="42"/>
    </row>
    <row r="43" spans="2:11" ht="18" x14ac:dyDescent="0.25">
      <c r="B43" s="44"/>
      <c r="C43" s="44"/>
      <c r="D43" s="44"/>
      <c r="E43" s="44"/>
      <c r="F43" s="44"/>
      <c r="G43" s="41"/>
      <c r="H43" s="67"/>
      <c r="I43" s="42"/>
      <c r="J43" s="42"/>
      <c r="K43" s="42"/>
    </row>
    <row r="44" spans="2:11" ht="18" x14ac:dyDescent="0.25">
      <c r="B44" s="83" t="s">
        <v>92</v>
      </c>
      <c r="C44" s="83"/>
      <c r="D44" s="83"/>
      <c r="E44" s="83"/>
      <c r="F44" s="83"/>
      <c r="G44" s="51" t="s">
        <v>90</v>
      </c>
      <c r="H44" s="52">
        <f>SUM(H8,H15,H21,H27)</f>
        <v>47.16</v>
      </c>
      <c r="I44" s="52">
        <f>SUM(I8,I15,I21,I27)</f>
        <v>1684.5</v>
      </c>
      <c r="J44" s="52">
        <f>SUM(J8,J15,J21,J27)</f>
        <v>3284.3999999999996</v>
      </c>
      <c r="K44" s="42"/>
    </row>
    <row r="45" spans="2:11" ht="18" x14ac:dyDescent="0.25">
      <c r="B45" s="83"/>
      <c r="C45" s="83"/>
      <c r="D45" s="83"/>
      <c r="E45" s="83"/>
      <c r="F45" s="83"/>
      <c r="G45" s="43" t="s">
        <v>91</v>
      </c>
      <c r="H45" s="8">
        <f>H44*$C$2</f>
        <v>195714</v>
      </c>
      <c r="I45" s="8">
        <f t="shared" ref="I45:J45" si="0">I44*$C$2</f>
        <v>6990675</v>
      </c>
      <c r="J45" s="8">
        <f t="shared" si="0"/>
        <v>13630259.999999998</v>
      </c>
      <c r="K45" s="42"/>
    </row>
    <row r="46" spans="2:11" ht="18" x14ac:dyDescent="0.25">
      <c r="B46" s="83" t="s">
        <v>5</v>
      </c>
      <c r="C46" s="83"/>
      <c r="D46" s="83"/>
      <c r="E46" s="83"/>
      <c r="F46" s="83"/>
      <c r="G46" s="51" t="s">
        <v>90</v>
      </c>
      <c r="H46" s="52">
        <f>SUM(H9,H16,H22,H28)</f>
        <v>98.564400000000006</v>
      </c>
      <c r="I46" s="52">
        <f>SUM(I9,I16,I22,I28)</f>
        <v>3520.605</v>
      </c>
      <c r="J46" s="52">
        <f>SUM(J9,J16,J22,J28)</f>
        <v>6864.3959999999997</v>
      </c>
      <c r="K46" s="42"/>
    </row>
    <row r="47" spans="2:11" ht="18" x14ac:dyDescent="0.25">
      <c r="B47" s="83"/>
      <c r="C47" s="83"/>
      <c r="D47" s="83"/>
      <c r="E47" s="83"/>
      <c r="F47" s="83"/>
      <c r="G47" s="43" t="s">
        <v>91</v>
      </c>
      <c r="H47" s="8">
        <f>H46*$C$2</f>
        <v>409042.26</v>
      </c>
      <c r="I47" s="8">
        <f t="shared" ref="I47:J47" si="1">I46*$C$2</f>
        <v>14610510.75</v>
      </c>
      <c r="J47" s="8">
        <f t="shared" si="1"/>
        <v>28487243.399999999</v>
      </c>
      <c r="K47" s="42"/>
    </row>
    <row r="48" spans="2:11" ht="18" x14ac:dyDescent="0.25">
      <c r="B48" s="44"/>
      <c r="C48" s="44"/>
      <c r="D48" s="44"/>
      <c r="E48" s="44"/>
      <c r="F48" s="44"/>
      <c r="G48" s="41"/>
      <c r="H48" s="42"/>
      <c r="I48" s="42"/>
      <c r="J48" s="42"/>
      <c r="K48" s="42"/>
    </row>
    <row r="49" spans="2:17" ht="18" x14ac:dyDescent="0.25">
      <c r="B49" s="83" t="s">
        <v>93</v>
      </c>
      <c r="C49" s="83"/>
      <c r="D49" s="83"/>
      <c r="E49" s="83"/>
      <c r="F49" s="83"/>
      <c r="G49" s="43" t="s">
        <v>91</v>
      </c>
      <c r="H49" s="8">
        <f>(H38-H47)/H5</f>
        <v>2683181.3130000001</v>
      </c>
      <c r="I49" s="8">
        <f>(I38-I47)/I5</f>
        <v>1718786.73575</v>
      </c>
      <c r="J49" s="8">
        <f>(J38-J47)/J5</f>
        <v>1675355.2766999998</v>
      </c>
      <c r="K49" s="42"/>
    </row>
    <row r="50" spans="2:17" ht="18" x14ac:dyDescent="0.25">
      <c r="B50" s="83"/>
      <c r="C50" s="83"/>
      <c r="D50" s="83"/>
      <c r="E50" s="83"/>
      <c r="F50" s="83"/>
      <c r="G50" s="40" t="s">
        <v>90</v>
      </c>
      <c r="H50" s="8">
        <f>H49/$C$2</f>
        <v>646.54971397590361</v>
      </c>
      <c r="I50" s="8">
        <f t="shared" ref="I50:J50" si="2">I49/$C$2</f>
        <v>414.16547849397591</v>
      </c>
      <c r="J50" s="8">
        <f t="shared" si="2"/>
        <v>403.70006667469875</v>
      </c>
      <c r="K50" s="42"/>
    </row>
    <row r="52" spans="2:17" x14ac:dyDescent="0.2">
      <c r="B52" s="79" t="s">
        <v>17</v>
      </c>
      <c r="C52" s="79"/>
      <c r="D52" s="79"/>
      <c r="E52" s="79"/>
      <c r="F52" s="2"/>
      <c r="G52" s="2"/>
      <c r="H52" s="11">
        <v>4500000</v>
      </c>
      <c r="I52" s="11">
        <v>4500000</v>
      </c>
      <c r="J52" s="11">
        <v>4500000</v>
      </c>
      <c r="L52" s="14"/>
      <c r="M52" s="14"/>
      <c r="N52" s="14"/>
      <c r="O52" s="14"/>
      <c r="P52" s="14"/>
      <c r="Q52" s="14"/>
    </row>
    <row r="53" spans="2:17" x14ac:dyDescent="0.2">
      <c r="B53" s="79" t="s">
        <v>18</v>
      </c>
      <c r="C53" s="79"/>
      <c r="D53" s="79"/>
      <c r="E53" s="79"/>
      <c r="F53" s="2"/>
      <c r="G53" s="2"/>
      <c r="H53" s="11">
        <f>H41</f>
        <v>3092223.5729999999</v>
      </c>
      <c r="I53" s="11">
        <f>I41</f>
        <v>2010996.9507499998</v>
      </c>
      <c r="J53" s="11">
        <f>J41</f>
        <v>1960227.7106999999</v>
      </c>
      <c r="L53" s="14"/>
      <c r="M53" s="14"/>
      <c r="N53" s="14"/>
      <c r="O53" s="14"/>
      <c r="P53" s="14"/>
      <c r="Q53" s="14"/>
    </row>
    <row r="54" spans="2:17" s="15" customFormat="1" ht="15" x14ac:dyDescent="0.25">
      <c r="B54" s="102" t="s">
        <v>19</v>
      </c>
      <c r="C54" s="102"/>
      <c r="D54" s="102"/>
      <c r="E54" s="102"/>
      <c r="F54" s="21"/>
      <c r="G54" s="21"/>
      <c r="H54" s="12">
        <f>H52-H53</f>
        <v>1407776.4270000001</v>
      </c>
      <c r="I54" s="12">
        <f>I52-I53</f>
        <v>2489003.0492500002</v>
      </c>
      <c r="J54" s="12">
        <f>J52-J53</f>
        <v>2539772.2893000003</v>
      </c>
      <c r="L54" s="16"/>
      <c r="M54" s="16"/>
      <c r="N54" s="16"/>
      <c r="O54" s="16"/>
      <c r="P54" s="16"/>
      <c r="Q54" s="16"/>
    </row>
    <row r="55" spans="2:17" s="15" customFormat="1" ht="15" x14ac:dyDescent="0.25">
      <c r="B55" s="102" t="s">
        <v>20</v>
      </c>
      <c r="C55" s="102"/>
      <c r="D55" s="102"/>
      <c r="E55" s="102"/>
      <c r="F55" s="21"/>
      <c r="G55" s="21"/>
      <c r="H55" s="22">
        <f>(H52-H53)/H52</f>
        <v>0.31283920600000004</v>
      </c>
      <c r="I55" s="22">
        <f>(I52-I53)/I52</f>
        <v>0.55311178872222222</v>
      </c>
      <c r="J55" s="22">
        <f>(J52-J53)/J52</f>
        <v>0.56439384206666676</v>
      </c>
      <c r="L55" s="17"/>
      <c r="M55" s="16"/>
      <c r="N55" s="16"/>
      <c r="O55" s="16"/>
      <c r="P55" s="16"/>
      <c r="Q55" s="16"/>
    </row>
    <row r="56" spans="2:17" x14ac:dyDescent="0.2">
      <c r="B56" s="79" t="s">
        <v>21</v>
      </c>
      <c r="C56" s="79"/>
      <c r="D56" s="79"/>
      <c r="E56" s="79"/>
      <c r="F56" s="4">
        <v>0.04</v>
      </c>
      <c r="G56" s="2"/>
      <c r="H56" s="11">
        <f t="shared" ref="H56:J62" si="3">H$52*$F56</f>
        <v>180000</v>
      </c>
      <c r="I56" s="11">
        <f t="shared" si="3"/>
        <v>180000</v>
      </c>
      <c r="J56" s="11">
        <f t="shared" si="3"/>
        <v>180000</v>
      </c>
      <c r="L56" s="14"/>
      <c r="M56" s="14"/>
      <c r="N56" s="14"/>
      <c r="O56" s="14"/>
      <c r="P56" s="14"/>
      <c r="Q56" s="14"/>
    </row>
    <row r="57" spans="2:17" x14ac:dyDescent="0.2">
      <c r="B57" s="79" t="s">
        <v>22</v>
      </c>
      <c r="C57" s="79"/>
      <c r="D57" s="79"/>
      <c r="E57" s="79"/>
      <c r="F57" s="4">
        <v>0.03</v>
      </c>
      <c r="G57" s="2"/>
      <c r="H57" s="11">
        <f t="shared" si="3"/>
        <v>135000</v>
      </c>
      <c r="I57" s="11">
        <f t="shared" si="3"/>
        <v>135000</v>
      </c>
      <c r="J57" s="11">
        <f t="shared" si="3"/>
        <v>135000</v>
      </c>
      <c r="L57" s="14"/>
      <c r="M57" s="14"/>
      <c r="N57" s="14"/>
      <c r="O57" s="14"/>
      <c r="P57" s="14"/>
      <c r="Q57" s="14"/>
    </row>
    <row r="58" spans="2:17" x14ac:dyDescent="0.2">
      <c r="B58" s="79" t="s">
        <v>23</v>
      </c>
      <c r="C58" s="79"/>
      <c r="D58" s="79"/>
      <c r="E58" s="79"/>
      <c r="F58" s="4">
        <v>0.05</v>
      </c>
      <c r="G58" s="2"/>
      <c r="H58" s="11">
        <f t="shared" si="3"/>
        <v>225000</v>
      </c>
      <c r="I58" s="11">
        <f t="shared" si="3"/>
        <v>225000</v>
      </c>
      <c r="J58" s="11">
        <f t="shared" si="3"/>
        <v>225000</v>
      </c>
      <c r="L58" s="14"/>
      <c r="M58" s="14"/>
      <c r="N58" s="14"/>
      <c r="O58" s="14"/>
      <c r="P58" s="14"/>
      <c r="Q58" s="14"/>
    </row>
    <row r="59" spans="2:17" x14ac:dyDescent="0.2">
      <c r="B59" s="79" t="s">
        <v>24</v>
      </c>
      <c r="C59" s="79"/>
      <c r="D59" s="79"/>
      <c r="E59" s="79"/>
      <c r="F59" s="4">
        <v>0.02</v>
      </c>
      <c r="G59" s="2"/>
      <c r="H59" s="11">
        <f t="shared" si="3"/>
        <v>90000</v>
      </c>
      <c r="I59" s="11">
        <f t="shared" si="3"/>
        <v>90000</v>
      </c>
      <c r="J59" s="11">
        <f t="shared" si="3"/>
        <v>90000</v>
      </c>
      <c r="L59" s="14"/>
      <c r="M59" s="14"/>
      <c r="N59" s="14"/>
      <c r="O59" s="14"/>
      <c r="P59" s="14"/>
      <c r="Q59" s="14"/>
    </row>
    <row r="60" spans="2:17" x14ac:dyDescent="0.2">
      <c r="B60" s="79" t="s">
        <v>25</v>
      </c>
      <c r="C60" s="79"/>
      <c r="D60" s="79"/>
      <c r="E60" s="79"/>
      <c r="F60" s="4">
        <v>0.01</v>
      </c>
      <c r="G60" s="2"/>
      <c r="H60" s="11">
        <f t="shared" si="3"/>
        <v>45000</v>
      </c>
      <c r="I60" s="11">
        <f t="shared" si="3"/>
        <v>45000</v>
      </c>
      <c r="J60" s="11">
        <f t="shared" si="3"/>
        <v>45000</v>
      </c>
      <c r="L60" s="14"/>
      <c r="M60" s="14"/>
      <c r="N60" s="14"/>
      <c r="O60" s="14"/>
      <c r="P60" s="14"/>
      <c r="Q60" s="14"/>
    </row>
    <row r="61" spans="2:17" x14ac:dyDescent="0.2">
      <c r="B61" s="79" t="s">
        <v>26</v>
      </c>
      <c r="C61" s="79"/>
      <c r="D61" s="79"/>
      <c r="E61" s="79"/>
      <c r="F61" s="4">
        <v>0.1</v>
      </c>
      <c r="G61" s="2"/>
      <c r="H61" s="11">
        <f t="shared" si="3"/>
        <v>450000</v>
      </c>
      <c r="I61" s="11">
        <f t="shared" si="3"/>
        <v>450000</v>
      </c>
      <c r="J61" s="11">
        <f t="shared" si="3"/>
        <v>450000</v>
      </c>
      <c r="L61" s="14"/>
      <c r="M61" s="14"/>
      <c r="N61" s="14"/>
      <c r="O61" s="14"/>
      <c r="P61" s="14"/>
      <c r="Q61" s="14"/>
    </row>
    <row r="62" spans="2:17" x14ac:dyDescent="0.2">
      <c r="B62" s="79" t="s">
        <v>27</v>
      </c>
      <c r="C62" s="79"/>
      <c r="D62" s="79"/>
      <c r="E62" s="79"/>
      <c r="F62" s="4">
        <v>0.02</v>
      </c>
      <c r="G62" s="2"/>
      <c r="H62" s="11">
        <f t="shared" si="3"/>
        <v>90000</v>
      </c>
      <c r="I62" s="11">
        <f t="shared" si="3"/>
        <v>90000</v>
      </c>
      <c r="J62" s="11">
        <f t="shared" si="3"/>
        <v>90000</v>
      </c>
      <c r="L62" s="14"/>
      <c r="M62" s="14"/>
      <c r="N62" s="14"/>
      <c r="O62" s="14"/>
      <c r="P62" s="14"/>
      <c r="Q62" s="14"/>
    </row>
    <row r="63" spans="2:17" ht="15" x14ac:dyDescent="0.25">
      <c r="B63" s="102" t="s">
        <v>28</v>
      </c>
      <c r="C63" s="102"/>
      <c r="D63" s="102"/>
      <c r="E63" s="102"/>
      <c r="F63" s="23"/>
      <c r="G63" s="21"/>
      <c r="H63" s="12">
        <f>SUM(H56:H62)</f>
        <v>1215000</v>
      </c>
      <c r="I63" s="12">
        <f>SUM(I56:I62)</f>
        <v>1215000</v>
      </c>
      <c r="J63" s="12">
        <f>SUM(J56:J62)</f>
        <v>1215000</v>
      </c>
      <c r="L63" s="16"/>
      <c r="M63" s="16"/>
      <c r="N63" s="16"/>
      <c r="O63" s="16"/>
      <c r="P63" s="16"/>
      <c r="Q63" s="16"/>
    </row>
    <row r="64" spans="2:17" s="15" customFormat="1" ht="15" x14ac:dyDescent="0.25">
      <c r="B64" s="102" t="s">
        <v>29</v>
      </c>
      <c r="C64" s="102"/>
      <c r="D64" s="102"/>
      <c r="E64" s="102"/>
      <c r="F64" s="23"/>
      <c r="G64" s="21"/>
      <c r="H64" s="12">
        <f>H54-H63</f>
        <v>192776.42700000014</v>
      </c>
      <c r="I64" s="12">
        <f>I54-I63</f>
        <v>1274003.0492500002</v>
      </c>
      <c r="J64" s="12">
        <f>J54-J63</f>
        <v>1324772.2893000003</v>
      </c>
      <c r="L64" s="16"/>
      <c r="M64" s="16"/>
      <c r="N64" s="16"/>
      <c r="O64" s="16"/>
      <c r="P64" s="16"/>
      <c r="Q64" s="16"/>
    </row>
    <row r="65" spans="2:17" s="15" customFormat="1" ht="15" x14ac:dyDescent="0.25">
      <c r="B65" s="102" t="s">
        <v>30</v>
      </c>
      <c r="C65" s="102"/>
      <c r="D65" s="102"/>
      <c r="E65" s="102"/>
      <c r="F65" s="23"/>
      <c r="G65" s="21"/>
      <c r="H65" s="24">
        <f>H64/H52</f>
        <v>4.2839206000000032E-2</v>
      </c>
      <c r="I65" s="24">
        <f>I64/I52</f>
        <v>0.28311178872222226</v>
      </c>
      <c r="J65" s="24">
        <f>J64/J52</f>
        <v>0.29439384206666674</v>
      </c>
      <c r="L65" s="39"/>
      <c r="M65" s="16"/>
      <c r="N65" s="16"/>
      <c r="O65" s="16"/>
      <c r="P65" s="16"/>
      <c r="Q65" s="16"/>
    </row>
    <row r="66" spans="2:17" x14ac:dyDescent="0.2">
      <c r="B66" s="79" t="s">
        <v>31</v>
      </c>
      <c r="C66" s="79"/>
      <c r="D66" s="79"/>
      <c r="E66" s="79"/>
      <c r="F66" s="4">
        <v>0.02</v>
      </c>
      <c r="G66" s="2"/>
      <c r="H66" s="11">
        <f>H52*$F66</f>
        <v>90000</v>
      </c>
      <c r="I66" s="11">
        <f>I52*$F66</f>
        <v>90000</v>
      </c>
      <c r="J66" s="11">
        <f>J52*$F66</f>
        <v>90000</v>
      </c>
      <c r="L66" s="14"/>
      <c r="M66" s="14"/>
      <c r="N66" s="14"/>
      <c r="O66" s="14"/>
      <c r="P66" s="14"/>
      <c r="Q66" s="14"/>
    </row>
    <row r="67" spans="2:17" s="15" customFormat="1" ht="15" x14ac:dyDescent="0.25">
      <c r="B67" s="102" t="s">
        <v>32</v>
      </c>
      <c r="C67" s="102"/>
      <c r="D67" s="102"/>
      <c r="E67" s="102"/>
      <c r="F67" s="21"/>
      <c r="G67" s="21"/>
      <c r="H67" s="12">
        <f>H64-H66</f>
        <v>102776.42700000014</v>
      </c>
      <c r="I67" s="12">
        <f>I64-I66</f>
        <v>1184003.0492500002</v>
      </c>
      <c r="J67" s="12">
        <f>J64-J66</f>
        <v>1234772.2893000003</v>
      </c>
      <c r="L67" s="16"/>
      <c r="M67" s="16"/>
      <c r="N67" s="16"/>
      <c r="O67" s="16"/>
      <c r="P67" s="16"/>
      <c r="Q67" s="16"/>
    </row>
    <row r="68" spans="2:17" s="15" customFormat="1" ht="15" x14ac:dyDescent="0.25">
      <c r="B68" s="102" t="s">
        <v>33</v>
      </c>
      <c r="C68" s="102"/>
      <c r="D68" s="102"/>
      <c r="E68" s="102"/>
      <c r="F68" s="21"/>
      <c r="G68" s="21"/>
      <c r="H68" s="22">
        <f>H67/H52</f>
        <v>2.2839206000000032E-2</v>
      </c>
      <c r="I68" s="22">
        <f>I67/I52</f>
        <v>0.26311178872222224</v>
      </c>
      <c r="J68" s="22">
        <f>J67/J52</f>
        <v>0.27439384206666673</v>
      </c>
      <c r="L68" s="17"/>
      <c r="M68" s="16"/>
      <c r="N68" s="16"/>
      <c r="O68" s="16"/>
      <c r="P68" s="16"/>
      <c r="Q68" s="16"/>
    </row>
    <row r="69" spans="2:17" x14ac:dyDescent="0.2">
      <c r="B69" s="79" t="s">
        <v>34</v>
      </c>
      <c r="C69" s="79"/>
      <c r="D69" s="79"/>
      <c r="E69" s="79"/>
      <c r="F69" s="4">
        <v>0.35</v>
      </c>
      <c r="G69" s="2"/>
      <c r="H69" s="11">
        <f>$F69*H$67</f>
        <v>35971.749450000047</v>
      </c>
      <c r="I69" s="11">
        <f>$F69*I$67</f>
        <v>414401.06723750004</v>
      </c>
      <c r="J69" s="11">
        <f>$F69*J$67</f>
        <v>432170.30125500006</v>
      </c>
    </row>
    <row r="70" spans="2:17" s="72" customFormat="1" ht="15.75" x14ac:dyDescent="0.25">
      <c r="B70" s="103" t="s">
        <v>35</v>
      </c>
      <c r="C70" s="103"/>
      <c r="D70" s="103"/>
      <c r="E70" s="103"/>
      <c r="F70" s="68"/>
      <c r="G70" s="68"/>
      <c r="H70" s="69">
        <f>H67-H69</f>
        <v>66804.677550000095</v>
      </c>
      <c r="I70" s="69">
        <f>I67-I69</f>
        <v>769601.98201250006</v>
      </c>
      <c r="J70" s="69">
        <f>J67-J69</f>
        <v>802601.98804500024</v>
      </c>
    </row>
    <row r="71" spans="2:17" s="73" customFormat="1" ht="15" x14ac:dyDescent="0.25">
      <c r="B71" s="103" t="s">
        <v>36</v>
      </c>
      <c r="C71" s="103"/>
      <c r="D71" s="103"/>
      <c r="E71" s="103"/>
      <c r="F71" s="70"/>
      <c r="G71" s="70"/>
      <c r="H71" s="71">
        <f>H70/H52</f>
        <v>1.484548390000002E-2</v>
      </c>
      <c r="I71" s="71">
        <f>I70/I52</f>
        <v>0.17102266266944446</v>
      </c>
      <c r="J71" s="71">
        <f>J70/J52</f>
        <v>0.17835599734333338</v>
      </c>
    </row>
    <row r="72" spans="2:17" ht="15" x14ac:dyDescent="0.25">
      <c r="B72" s="102" t="s">
        <v>37</v>
      </c>
      <c r="C72" s="102"/>
      <c r="D72" s="102"/>
      <c r="E72" s="102"/>
      <c r="F72" s="2"/>
      <c r="G72" s="2"/>
      <c r="H72" s="25"/>
      <c r="I72" s="25"/>
      <c r="J72" s="25"/>
    </row>
    <row r="73" spans="2:17" x14ac:dyDescent="0.2">
      <c r="B73" s="79" t="s">
        <v>38</v>
      </c>
      <c r="C73" s="79"/>
      <c r="D73" s="79"/>
      <c r="E73" s="79"/>
      <c r="F73" s="2"/>
      <c r="G73" s="2"/>
      <c r="H73" s="26">
        <f>H52-(H63+H53)</f>
        <v>192776.42700000014</v>
      </c>
      <c r="I73" s="26">
        <f>I52-(I63+I53)</f>
        <v>1274003.0492500002</v>
      </c>
      <c r="J73" s="26">
        <f>J52-(J63+J53)</f>
        <v>1324772.2893000003</v>
      </c>
    </row>
    <row r="74" spans="2:17" x14ac:dyDescent="0.2">
      <c r="B74" s="79" t="s">
        <v>39</v>
      </c>
      <c r="C74" s="79"/>
      <c r="D74" s="79"/>
      <c r="E74" s="79"/>
      <c r="F74" s="2"/>
      <c r="G74" s="2"/>
      <c r="H74" s="26">
        <v>10000000</v>
      </c>
      <c r="I74" s="26">
        <v>10000000</v>
      </c>
      <c r="J74" s="26">
        <v>10000000</v>
      </c>
      <c r="L74" s="18"/>
    </row>
    <row r="75" spans="2:17" x14ac:dyDescent="0.2">
      <c r="B75" s="79" t="s">
        <v>40</v>
      </c>
      <c r="C75" s="79"/>
      <c r="D75" s="79"/>
      <c r="E75" s="79"/>
      <c r="F75" s="2"/>
      <c r="G75" s="2"/>
      <c r="H75" s="2"/>
      <c r="I75" s="27"/>
      <c r="J75" s="27">
        <f>ROUNDUP(J74/J73,0)</f>
        <v>8</v>
      </c>
      <c r="L75" s="19"/>
    </row>
    <row r="76" spans="2:17" x14ac:dyDescent="0.2">
      <c r="B76" s="120"/>
      <c r="C76" s="120"/>
      <c r="D76" s="120"/>
      <c r="E76" s="120"/>
    </row>
    <row r="77" spans="2:17" ht="15.75" x14ac:dyDescent="0.25">
      <c r="B77" s="104" t="s">
        <v>98</v>
      </c>
      <c r="C77" s="104"/>
      <c r="D77" s="104"/>
      <c r="E77" s="104"/>
      <c r="F77" s="104"/>
      <c r="G77" s="104"/>
      <c r="H77" s="104"/>
      <c r="I77" s="104"/>
      <c r="J77" s="104"/>
      <c r="K77" s="104"/>
    </row>
    <row r="78" spans="2:17" ht="15" x14ac:dyDescent="0.25">
      <c r="B78" s="32" t="s">
        <v>41</v>
      </c>
      <c r="C78" s="21" t="s">
        <v>42</v>
      </c>
      <c r="D78" s="21" t="s">
        <v>43</v>
      </c>
      <c r="E78" s="21" t="s">
        <v>44</v>
      </c>
      <c r="F78" s="21" t="s">
        <v>45</v>
      </c>
      <c r="G78" s="21" t="s">
        <v>46</v>
      </c>
      <c r="H78" s="21" t="s">
        <v>47</v>
      </c>
      <c r="I78" s="21" t="s">
        <v>35</v>
      </c>
      <c r="J78" s="21" t="s">
        <v>48</v>
      </c>
      <c r="K78" s="21" t="s">
        <v>49</v>
      </c>
    </row>
    <row r="79" spans="2:17" ht="15" x14ac:dyDescent="0.25">
      <c r="B79" s="21">
        <v>30</v>
      </c>
      <c r="C79" s="11">
        <f>$I$52*B79</f>
        <v>135000000</v>
      </c>
      <c r="D79" s="11">
        <f>$I$53*B79</f>
        <v>60329908.522499993</v>
      </c>
      <c r="E79" s="11">
        <f>C79-D79</f>
        <v>74670091.477500007</v>
      </c>
      <c r="F79" s="11">
        <f>C79*SUM($F$56:$F$62)</f>
        <v>36450000</v>
      </c>
      <c r="G79" s="11">
        <f>E79-F79</f>
        <v>38220091.477500007</v>
      </c>
      <c r="H79" s="11">
        <f>G79-C79*$F$66</f>
        <v>35520091.477500007</v>
      </c>
      <c r="I79" s="11">
        <f>H79-H79*$F$69</f>
        <v>23088059.460375004</v>
      </c>
      <c r="J79" s="2">
        <v>10000000</v>
      </c>
      <c r="K79" s="33">
        <f>I79-J79</f>
        <v>13088059.460375004</v>
      </c>
    </row>
    <row r="80" spans="2:17" ht="15" x14ac:dyDescent="0.25">
      <c r="B80" s="21">
        <v>80</v>
      </c>
      <c r="C80" s="11">
        <f>$I$52*B80</f>
        <v>360000000</v>
      </c>
      <c r="D80" s="11">
        <f>$I$53*B80</f>
        <v>160879756.06</v>
      </c>
      <c r="E80" s="11">
        <f>C80-D80</f>
        <v>199120243.94</v>
      </c>
      <c r="F80" s="11">
        <f>C80*SUM($F$56:$F$62)</f>
        <v>97200000</v>
      </c>
      <c r="G80" s="11">
        <f>E80-F80</f>
        <v>101920243.94</v>
      </c>
      <c r="H80" s="11">
        <f>G80-C80*$F$66</f>
        <v>94720243.939999998</v>
      </c>
      <c r="I80" s="11">
        <f>H80-H80*$F$69</f>
        <v>61568158.561000004</v>
      </c>
      <c r="J80" s="2">
        <v>10000000</v>
      </c>
      <c r="K80" s="33">
        <f>I80-J80</f>
        <v>51568158.561000004</v>
      </c>
    </row>
    <row r="81" spans="2:11" ht="15" x14ac:dyDescent="0.25">
      <c r="B81" s="21">
        <v>100</v>
      </c>
      <c r="C81" s="11">
        <f>$I$52*B81</f>
        <v>450000000</v>
      </c>
      <c r="D81" s="11">
        <f>$I$53*B81</f>
        <v>201099695.07499999</v>
      </c>
      <c r="E81" s="11">
        <f>C81-D81</f>
        <v>248900304.92500001</v>
      </c>
      <c r="F81" s="11">
        <f>C81*SUM($F$56:$F$62)</f>
        <v>121500000.00000001</v>
      </c>
      <c r="G81" s="11">
        <f>E81-F81</f>
        <v>127400304.925</v>
      </c>
      <c r="H81" s="11">
        <f>G81-C81*$F$66</f>
        <v>118400304.925</v>
      </c>
      <c r="I81" s="11">
        <f>H81-H81*$F$69</f>
        <v>76960198.201250002</v>
      </c>
      <c r="J81" s="2">
        <v>10000000</v>
      </c>
      <c r="K81" s="33">
        <f>I81-J81</f>
        <v>66960198.201250002</v>
      </c>
    </row>
    <row r="82" spans="2:11" ht="15" x14ac:dyDescent="0.25">
      <c r="B82" s="21">
        <v>120</v>
      </c>
      <c r="C82" s="11">
        <f>$I$52*B82</f>
        <v>540000000</v>
      </c>
      <c r="D82" s="11">
        <f>$I$53*B82</f>
        <v>241319634.08999997</v>
      </c>
      <c r="E82" s="11">
        <f>C82-D82</f>
        <v>298680365.91000003</v>
      </c>
      <c r="F82" s="11">
        <f>C82*SUM($F$56:$F$62)</f>
        <v>145800000</v>
      </c>
      <c r="G82" s="11">
        <f>E82-F82</f>
        <v>152880365.91000003</v>
      </c>
      <c r="H82" s="11">
        <f>G82-C82*$F$66</f>
        <v>142080365.91000003</v>
      </c>
      <c r="I82" s="11">
        <f>H82-H82*$F$69</f>
        <v>92352237.841500014</v>
      </c>
      <c r="J82" s="2">
        <v>10000000</v>
      </c>
      <c r="K82" s="33">
        <f>I82-J82</f>
        <v>82352237.841500014</v>
      </c>
    </row>
    <row r="83" spans="2:11" ht="15" x14ac:dyDescent="0.25">
      <c r="B83" s="21">
        <v>150</v>
      </c>
      <c r="C83" s="11">
        <f>$I$52*B83</f>
        <v>675000000</v>
      </c>
      <c r="D83" s="11">
        <f>$I$53*B83</f>
        <v>301649542.61249995</v>
      </c>
      <c r="E83" s="11">
        <f>C83-D83</f>
        <v>373350457.38750005</v>
      </c>
      <c r="F83" s="11">
        <f>C83*SUM($F$56:$F$62)</f>
        <v>182250000</v>
      </c>
      <c r="G83" s="11">
        <f>E83-F83</f>
        <v>191100457.38750005</v>
      </c>
      <c r="H83" s="11">
        <f>G83-C83*$F$66</f>
        <v>177600457.38750005</v>
      </c>
      <c r="I83" s="11">
        <f>H83-H83*$F$69</f>
        <v>115440297.30187503</v>
      </c>
      <c r="J83" s="2">
        <v>10000000</v>
      </c>
      <c r="K83" s="33">
        <f>I83-J83</f>
        <v>105440297.30187503</v>
      </c>
    </row>
    <row r="85" spans="2:11" ht="15.75" x14ac:dyDescent="0.25">
      <c r="B85" s="104" t="s">
        <v>89</v>
      </c>
      <c r="C85" s="104"/>
      <c r="D85" s="104"/>
      <c r="E85" s="104"/>
      <c r="F85" s="104"/>
      <c r="G85" s="104"/>
      <c r="H85" s="104"/>
      <c r="I85" s="104"/>
      <c r="J85" s="104"/>
      <c r="K85" s="104"/>
    </row>
    <row r="86" spans="2:11" ht="15" x14ac:dyDescent="0.25">
      <c r="B86" s="32" t="s">
        <v>41</v>
      </c>
      <c r="C86" s="21" t="s">
        <v>42</v>
      </c>
      <c r="D86" s="21" t="s">
        <v>43</v>
      </c>
      <c r="E86" s="21" t="s">
        <v>44</v>
      </c>
      <c r="F86" s="21" t="s">
        <v>45</v>
      </c>
      <c r="G86" s="21" t="s">
        <v>46</v>
      </c>
      <c r="H86" s="21" t="s">
        <v>47</v>
      </c>
      <c r="I86" s="21" t="s">
        <v>35</v>
      </c>
      <c r="J86" s="21" t="s">
        <v>48</v>
      </c>
      <c r="K86" s="21" t="s">
        <v>49</v>
      </c>
    </row>
    <row r="87" spans="2:11" ht="15" x14ac:dyDescent="0.25">
      <c r="B87" s="21">
        <v>30</v>
      </c>
      <c r="C87" s="11">
        <f>$I$52*B87</f>
        <v>135000000</v>
      </c>
      <c r="D87" s="11">
        <f>$J$53*B87</f>
        <v>58806831.320999995</v>
      </c>
      <c r="E87" s="11">
        <f>C87-D87</f>
        <v>76193168.679000005</v>
      </c>
      <c r="F87" s="11">
        <f>C87*SUM($F$56:$F$62)</f>
        <v>36450000</v>
      </c>
      <c r="G87" s="11">
        <f>E87-F87</f>
        <v>39743168.679000005</v>
      </c>
      <c r="H87" s="11">
        <f>G87-C87*$F$66</f>
        <v>37043168.679000005</v>
      </c>
      <c r="I87" s="11">
        <f>H87-H87*$F$69</f>
        <v>24078059.641350005</v>
      </c>
      <c r="J87" s="2">
        <v>10000000</v>
      </c>
      <c r="K87" s="33">
        <f>I87-J87</f>
        <v>14078059.641350005</v>
      </c>
    </row>
    <row r="88" spans="2:11" ht="15" x14ac:dyDescent="0.25">
      <c r="B88" s="21">
        <v>80</v>
      </c>
      <c r="C88" s="11">
        <f>$I$52*B88</f>
        <v>360000000</v>
      </c>
      <c r="D88" s="11">
        <f>$J$53*B88</f>
        <v>156818216.85600001</v>
      </c>
      <c r="E88" s="11">
        <f>C88-D88</f>
        <v>203181783.14399999</v>
      </c>
      <c r="F88" s="11">
        <f>C88*SUM($F$56:$F$62)</f>
        <v>97200000</v>
      </c>
      <c r="G88" s="11">
        <f>E88-F88</f>
        <v>105981783.14399999</v>
      </c>
      <c r="H88" s="11">
        <f>G88-C88*$F$66</f>
        <v>98781783.143999994</v>
      </c>
      <c r="I88" s="11">
        <f>H88-H88*$F$69</f>
        <v>64208159.0436</v>
      </c>
      <c r="J88" s="2">
        <v>10000000</v>
      </c>
      <c r="K88" s="33">
        <f>I88-J88</f>
        <v>54208159.0436</v>
      </c>
    </row>
    <row r="89" spans="2:11" ht="15" x14ac:dyDescent="0.25">
      <c r="B89" s="21">
        <v>100</v>
      </c>
      <c r="C89" s="11">
        <f>$I$52*B89</f>
        <v>450000000</v>
      </c>
      <c r="D89" s="11">
        <f>$J$53*B89</f>
        <v>196022771.06999999</v>
      </c>
      <c r="E89" s="11">
        <f>C89-D89</f>
        <v>253977228.93000001</v>
      </c>
      <c r="F89" s="11">
        <f>C89*SUM($F$56:$F$62)</f>
        <v>121500000.00000001</v>
      </c>
      <c r="G89" s="11">
        <f>E89-F89</f>
        <v>132477228.92999999</v>
      </c>
      <c r="H89" s="11">
        <f>G89-C89*$F$66</f>
        <v>123477228.92999999</v>
      </c>
      <c r="I89" s="11">
        <f>H89-H89*$F$69</f>
        <v>80260198.804499999</v>
      </c>
      <c r="J89" s="2">
        <v>10000000</v>
      </c>
      <c r="K89" s="33">
        <f>I89-J89</f>
        <v>70260198.804499999</v>
      </c>
    </row>
    <row r="90" spans="2:11" ht="15" x14ac:dyDescent="0.25">
      <c r="B90" s="21">
        <v>120</v>
      </c>
      <c r="C90" s="11">
        <f>$I$52*B90</f>
        <v>540000000</v>
      </c>
      <c r="D90" s="11">
        <f>$J$53*B90</f>
        <v>235227325.28399998</v>
      </c>
      <c r="E90" s="11">
        <f>C90-D90</f>
        <v>304772674.71600002</v>
      </c>
      <c r="F90" s="11">
        <f>C90*SUM($F$56:$F$62)</f>
        <v>145800000</v>
      </c>
      <c r="G90" s="11">
        <f>E90-F90</f>
        <v>158972674.71600002</v>
      </c>
      <c r="H90" s="11">
        <f>G90-C90*$F$66</f>
        <v>148172674.71600002</v>
      </c>
      <c r="I90" s="11">
        <f>H90-H90*$F$69</f>
        <v>96312238.565400019</v>
      </c>
      <c r="J90" s="2">
        <v>10000000</v>
      </c>
      <c r="K90" s="33">
        <f>I90-J90</f>
        <v>86312238.565400019</v>
      </c>
    </row>
    <row r="91" spans="2:11" ht="15" x14ac:dyDescent="0.25">
      <c r="B91" s="21">
        <v>150</v>
      </c>
      <c r="C91" s="11">
        <f>$I$52*B91</f>
        <v>675000000</v>
      </c>
      <c r="D91" s="11">
        <f>$J$53*B91</f>
        <v>294034156.60500002</v>
      </c>
      <c r="E91" s="11">
        <f>C91-D91</f>
        <v>380965843.39499998</v>
      </c>
      <c r="F91" s="11">
        <f>C91*SUM($F$56:$F$62)</f>
        <v>182250000</v>
      </c>
      <c r="G91" s="11">
        <f>E91-F91</f>
        <v>198715843.39499998</v>
      </c>
      <c r="H91" s="11">
        <f>G91-C91*$F$66</f>
        <v>185215843.39499998</v>
      </c>
      <c r="I91" s="11">
        <f>H91-H91*$F$69</f>
        <v>120390298.20674999</v>
      </c>
      <c r="J91" s="2">
        <v>10000000</v>
      </c>
      <c r="K91" s="33">
        <f>I91-J91</f>
        <v>110390298.20674999</v>
      </c>
    </row>
    <row r="93" spans="2:11" ht="15" customHeight="1" x14ac:dyDescent="0.2">
      <c r="B93" s="77" t="s">
        <v>50</v>
      </c>
      <c r="C93" s="77"/>
      <c r="D93" s="77"/>
      <c r="E93" s="77"/>
    </row>
    <row r="95" spans="2:11" x14ac:dyDescent="0.2">
      <c r="B95" s="79" t="s">
        <v>88</v>
      </c>
      <c r="C95" s="79"/>
      <c r="D95" s="79"/>
      <c r="E95" s="79"/>
      <c r="F95" s="2"/>
      <c r="G95" s="2"/>
      <c r="H95" s="28">
        <f>I41</f>
        <v>2010996.9507499998</v>
      </c>
      <c r="I95" s="28">
        <f>J41</f>
        <v>1960227.7106999999</v>
      </c>
    </row>
    <row r="96" spans="2:11" x14ac:dyDescent="0.2">
      <c r="B96" s="77"/>
      <c r="C96" s="77"/>
      <c r="D96" s="77"/>
      <c r="E96" s="77"/>
    </row>
    <row r="97" spans="2:9" x14ac:dyDescent="0.2">
      <c r="B97" s="79" t="s">
        <v>51</v>
      </c>
      <c r="C97" s="79"/>
      <c r="D97" s="79"/>
      <c r="E97" s="79"/>
      <c r="F97" s="2"/>
      <c r="G97" s="2"/>
      <c r="H97" s="4">
        <v>0.27</v>
      </c>
      <c r="I97" s="4">
        <v>0.27</v>
      </c>
    </row>
    <row r="98" spans="2:9" x14ac:dyDescent="0.2">
      <c r="B98" s="79" t="s">
        <v>52</v>
      </c>
      <c r="C98" s="79"/>
      <c r="D98" s="79"/>
      <c r="E98" s="79"/>
      <c r="F98" s="2"/>
      <c r="G98" s="2"/>
      <c r="H98" s="2"/>
      <c r="I98" s="2"/>
    </row>
    <row r="99" spans="2:9" x14ac:dyDescent="0.2">
      <c r="B99" s="79" t="s">
        <v>53</v>
      </c>
      <c r="C99" s="79"/>
      <c r="D99" s="79"/>
      <c r="E99" s="79"/>
      <c r="F99" s="2"/>
      <c r="G99" s="2"/>
      <c r="H99" s="4">
        <v>0.02</v>
      </c>
      <c r="I99" s="4">
        <v>0.02</v>
      </c>
    </row>
    <row r="100" spans="2:9" x14ac:dyDescent="0.2">
      <c r="B100" s="79" t="s">
        <v>54</v>
      </c>
      <c r="C100" s="79"/>
      <c r="D100" s="79"/>
      <c r="E100" s="79"/>
      <c r="F100" s="2"/>
      <c r="G100" s="2"/>
      <c r="H100" s="4">
        <v>0.35</v>
      </c>
      <c r="I100" s="4">
        <v>0.35</v>
      </c>
    </row>
    <row r="101" spans="2:9" x14ac:dyDescent="0.2">
      <c r="B101" s="79" t="s">
        <v>55</v>
      </c>
      <c r="C101" s="79"/>
      <c r="D101" s="79"/>
      <c r="E101" s="79"/>
      <c r="F101" s="2"/>
      <c r="G101" s="2"/>
      <c r="H101" s="2">
        <v>10000000</v>
      </c>
      <c r="I101" s="2">
        <v>10000000</v>
      </c>
    </row>
    <row r="102" spans="2:9" x14ac:dyDescent="0.2">
      <c r="B102" s="79" t="s">
        <v>56</v>
      </c>
      <c r="C102" s="79"/>
      <c r="D102" s="79"/>
      <c r="E102" s="79"/>
      <c r="F102" s="2"/>
      <c r="G102" s="2"/>
      <c r="H102" s="2">
        <v>50</v>
      </c>
      <c r="I102" s="2">
        <v>50</v>
      </c>
    </row>
    <row r="103" spans="2:9" x14ac:dyDescent="0.2">
      <c r="B103" s="79" t="s">
        <v>57</v>
      </c>
      <c r="C103" s="79"/>
      <c r="D103" s="79"/>
      <c r="E103" s="79"/>
      <c r="F103" s="2"/>
      <c r="G103" s="2"/>
      <c r="H103" s="2">
        <f>H101/H102</f>
        <v>200000</v>
      </c>
      <c r="I103" s="2">
        <f>I101/I102</f>
        <v>200000</v>
      </c>
    </row>
    <row r="104" spans="2:9" x14ac:dyDescent="0.2">
      <c r="B104" s="79" t="s">
        <v>58</v>
      </c>
      <c r="C104" s="79"/>
      <c r="D104" s="79"/>
      <c r="E104" s="79"/>
      <c r="F104" s="2"/>
      <c r="G104" s="2"/>
      <c r="H104" s="4">
        <v>0.15</v>
      </c>
      <c r="I104" s="4">
        <v>0.15</v>
      </c>
    </row>
    <row r="105" spans="2:9" x14ac:dyDescent="0.2">
      <c r="B105" s="79" t="s">
        <v>59</v>
      </c>
      <c r="C105" s="79"/>
      <c r="D105" s="79"/>
      <c r="E105" s="79"/>
      <c r="F105" s="2"/>
      <c r="G105" s="2"/>
      <c r="H105" s="3">
        <v>500000</v>
      </c>
      <c r="I105" s="3">
        <v>500000</v>
      </c>
    </row>
    <row r="106" spans="2:9" x14ac:dyDescent="0.2">
      <c r="B106" s="77"/>
      <c r="C106" s="77"/>
      <c r="D106" s="77"/>
      <c r="E106" s="77"/>
    </row>
    <row r="107" spans="2:9" x14ac:dyDescent="0.2">
      <c r="B107" s="77" t="s">
        <v>60</v>
      </c>
      <c r="C107" s="77"/>
      <c r="D107" s="77"/>
      <c r="E107" s="77"/>
    </row>
    <row r="108" spans="2:9" x14ac:dyDescent="0.2">
      <c r="B108" s="77"/>
      <c r="C108" s="77"/>
      <c r="D108" s="77"/>
      <c r="E108" s="77"/>
    </row>
    <row r="109" spans="2:9" x14ac:dyDescent="0.2">
      <c r="B109" s="77" t="s">
        <v>61</v>
      </c>
      <c r="C109" s="77"/>
      <c r="D109" s="77"/>
      <c r="E109" s="77"/>
    </row>
    <row r="110" spans="2:9" x14ac:dyDescent="0.2">
      <c r="B110" s="77"/>
      <c r="C110" s="77"/>
      <c r="D110" s="77"/>
      <c r="E110" s="77"/>
    </row>
    <row r="111" spans="2:9" x14ac:dyDescent="0.2">
      <c r="B111" s="77" t="s">
        <v>62</v>
      </c>
      <c r="C111" s="77"/>
      <c r="D111" s="77"/>
      <c r="E111" s="77"/>
    </row>
    <row r="112" spans="2:9" x14ac:dyDescent="0.2">
      <c r="B112" s="77"/>
      <c r="C112" s="77"/>
      <c r="D112" s="77"/>
      <c r="E112" s="77"/>
    </row>
    <row r="113" spans="2:9" x14ac:dyDescent="0.2">
      <c r="B113" s="79" t="s">
        <v>63</v>
      </c>
      <c r="C113" s="79"/>
      <c r="D113" s="79"/>
      <c r="E113" s="79"/>
      <c r="F113" s="2"/>
      <c r="G113" s="2" t="s">
        <v>64</v>
      </c>
      <c r="H113" s="29">
        <f>((1-H100)*(H95+H103))/((1-H100)*(1-H97-H99)-H104)</f>
        <v>4613637.2969101118</v>
      </c>
      <c r="I113" s="29">
        <f>((1-I100)*(I95+I103))/((1-I100)*(1-I97-I99)-I104)</f>
        <v>4507698.2727287309</v>
      </c>
    </row>
    <row r="114" spans="2:9" x14ac:dyDescent="0.2">
      <c r="B114" s="77"/>
      <c r="C114" s="77"/>
      <c r="D114" s="77"/>
      <c r="E114" s="77"/>
    </row>
    <row r="115" spans="2:9" x14ac:dyDescent="0.2">
      <c r="B115" s="77" t="s">
        <v>65</v>
      </c>
      <c r="C115" s="77"/>
      <c r="D115" s="77"/>
      <c r="E115" s="77"/>
    </row>
    <row r="116" spans="2:9" x14ac:dyDescent="0.2">
      <c r="B116" s="77"/>
      <c r="C116" s="77"/>
      <c r="D116" s="77"/>
      <c r="E116" s="77"/>
    </row>
    <row r="117" spans="2:9" x14ac:dyDescent="0.2">
      <c r="B117" s="79" t="s">
        <v>66</v>
      </c>
      <c r="C117" s="79"/>
      <c r="D117" s="79"/>
      <c r="E117" s="79"/>
      <c r="F117" s="2"/>
      <c r="G117" s="2" t="s">
        <v>67</v>
      </c>
      <c r="H117" s="29">
        <f>((H105/(1-H100))+H95+H103)/(1-H97-H99)</f>
        <v>4197503.8309588293</v>
      </c>
      <c r="I117" s="29">
        <f>((I105/(1-I100))+I95+I103)/(1-I97-I99)</f>
        <v>4125997.8590574218</v>
      </c>
    </row>
    <row r="118" spans="2:9" x14ac:dyDescent="0.2">
      <c r="B118" s="77"/>
      <c r="C118" s="77"/>
      <c r="D118" s="77"/>
      <c r="E118" s="77"/>
    </row>
    <row r="119" spans="2:9" x14ac:dyDescent="0.2">
      <c r="B119" s="77" t="s">
        <v>68</v>
      </c>
      <c r="C119" s="77"/>
      <c r="D119" s="77"/>
      <c r="E119" s="77"/>
    </row>
    <row r="120" spans="2:9" x14ac:dyDescent="0.2">
      <c r="B120" s="77"/>
      <c r="C120" s="77"/>
      <c r="D120" s="77"/>
      <c r="E120" s="77"/>
    </row>
    <row r="121" spans="2:9" x14ac:dyDescent="0.2">
      <c r="B121" s="79" t="s">
        <v>69</v>
      </c>
      <c r="C121" s="79"/>
      <c r="D121" s="79"/>
      <c r="E121" s="79"/>
      <c r="F121" s="2"/>
      <c r="G121" s="2" t="s">
        <v>70</v>
      </c>
      <c r="H121" s="29">
        <f>(H95+H103)/(1-H97-H99)</f>
        <v>3114080.2123239436</v>
      </c>
      <c r="I121" s="29">
        <f>(I95+I103)/(1-I97-I99)</f>
        <v>3042574.2404225348</v>
      </c>
    </row>
    <row r="122" spans="2:9" x14ac:dyDescent="0.2">
      <c r="B122" s="77"/>
      <c r="C122" s="77"/>
      <c r="D122" s="77"/>
      <c r="E122" s="77"/>
    </row>
    <row r="123" spans="2:9" x14ac:dyDescent="0.2">
      <c r="B123" s="77" t="s">
        <v>71</v>
      </c>
      <c r="C123" s="77"/>
      <c r="D123" s="77"/>
      <c r="E123" s="77"/>
    </row>
    <row r="124" spans="2:9" x14ac:dyDescent="0.2">
      <c r="B124" s="77"/>
      <c r="C124" s="77"/>
      <c r="D124" s="77"/>
      <c r="E124" s="77"/>
    </row>
    <row r="125" spans="2:9" x14ac:dyDescent="0.2">
      <c r="B125" s="77" t="s">
        <v>72</v>
      </c>
      <c r="C125" s="77"/>
      <c r="D125" s="77"/>
      <c r="E125" s="77"/>
    </row>
    <row r="126" spans="2:9" x14ac:dyDescent="0.2">
      <c r="B126" s="77"/>
      <c r="C126" s="77"/>
      <c r="D126" s="77"/>
      <c r="E126" s="77"/>
    </row>
    <row r="127" spans="2:9" x14ac:dyDescent="0.2">
      <c r="B127" s="79" t="s">
        <v>73</v>
      </c>
      <c r="C127" s="79"/>
      <c r="D127" s="79"/>
      <c r="E127" s="79"/>
      <c r="F127" s="2" t="s">
        <v>74</v>
      </c>
      <c r="G127" s="2" t="s">
        <v>64</v>
      </c>
      <c r="H127" s="29">
        <f>(H113*(1-H97-H99)-(H95+H103))*(1-H100)</f>
        <v>692045.5945365167</v>
      </c>
      <c r="I127" s="29">
        <f>(I113*(1-I97-I99)-(I95+I103))*(1-I100)</f>
        <v>676154.74090930936</v>
      </c>
    </row>
    <row r="128" spans="2:9" x14ac:dyDescent="0.2">
      <c r="B128" s="79"/>
      <c r="C128" s="79"/>
      <c r="D128" s="79"/>
      <c r="E128" s="79"/>
      <c r="F128" s="2"/>
      <c r="G128" s="2" t="s">
        <v>67</v>
      </c>
      <c r="H128" s="34">
        <f>(H117*(1-H97-H99)-(H95+H103))*(1-H100)</f>
        <v>499999.99999999988</v>
      </c>
      <c r="I128" s="34">
        <f>(I117*(1-I97-I99)-(I95+I103))*(1-I100)</f>
        <v>500000.00000000017</v>
      </c>
    </row>
    <row r="129" spans="2:10" x14ac:dyDescent="0.2">
      <c r="B129" s="79"/>
      <c r="C129" s="79"/>
      <c r="D129" s="79"/>
      <c r="E129" s="79"/>
      <c r="F129" s="2"/>
      <c r="G129" s="2" t="s">
        <v>70</v>
      </c>
      <c r="H129" s="29">
        <f>(H121*(1-H97-H99)-(H95+H103))*(1-H100)</f>
        <v>0</v>
      </c>
      <c r="I129" s="29">
        <f>(I121*(1-I97-I99)-(I95+I103))*(1-I100)</f>
        <v>0</v>
      </c>
    </row>
    <row r="130" spans="2:10" x14ac:dyDescent="0.2">
      <c r="B130" s="77"/>
      <c r="C130" s="77"/>
      <c r="D130" s="77"/>
      <c r="E130" s="77"/>
    </row>
    <row r="131" spans="2:10" x14ac:dyDescent="0.2">
      <c r="B131" s="77" t="s">
        <v>75</v>
      </c>
      <c r="C131" s="77"/>
      <c r="D131" s="77"/>
      <c r="E131" s="77"/>
    </row>
    <row r="132" spans="2:10" x14ac:dyDescent="0.2">
      <c r="B132" s="77"/>
      <c r="C132" s="77"/>
      <c r="D132" s="77"/>
      <c r="E132" s="77"/>
    </row>
    <row r="133" spans="2:10" x14ac:dyDescent="0.2">
      <c r="B133" s="107" t="s">
        <v>76</v>
      </c>
      <c r="C133" s="108"/>
      <c r="D133" s="109"/>
      <c r="E133" s="2" t="s">
        <v>77</v>
      </c>
      <c r="F133" s="4">
        <v>0.2</v>
      </c>
      <c r="G133" s="2" t="s">
        <v>78</v>
      </c>
      <c r="H133" s="29">
        <f>H113/(1-$F$133)</f>
        <v>5767046.6211376395</v>
      </c>
      <c r="I133" s="29">
        <f>I113/(1-$F$133)</f>
        <v>5634622.8409109134</v>
      </c>
    </row>
    <row r="134" spans="2:10" x14ac:dyDescent="0.2">
      <c r="B134" s="2"/>
      <c r="C134" s="2"/>
      <c r="D134" s="2"/>
      <c r="E134" s="2"/>
      <c r="F134" s="2"/>
      <c r="G134" s="2" t="s">
        <v>79</v>
      </c>
      <c r="H134" s="29">
        <f>H117/(1-$F$133)</f>
        <v>5246879.7886985363</v>
      </c>
      <c r="I134" s="29">
        <f>I117/(1-$F$133)</f>
        <v>5157497.3238217765</v>
      </c>
    </row>
    <row r="135" spans="2:10" x14ac:dyDescent="0.2">
      <c r="B135" s="2"/>
      <c r="C135" s="2"/>
      <c r="D135" s="2"/>
      <c r="E135" s="2"/>
      <c r="F135" s="2"/>
      <c r="G135" s="2" t="s">
        <v>80</v>
      </c>
      <c r="H135" s="29">
        <f>H121/(1-$F$133)</f>
        <v>3892600.2654049294</v>
      </c>
      <c r="I135" s="29">
        <f>I121/(1-$F$133)</f>
        <v>3803217.8005281682</v>
      </c>
    </row>
    <row r="136" spans="2:10" x14ac:dyDescent="0.2">
      <c r="H136" s="31"/>
      <c r="I136" s="31"/>
    </row>
    <row r="137" spans="2:10" x14ac:dyDescent="0.2">
      <c r="B137" s="77" t="s">
        <v>81</v>
      </c>
      <c r="C137" s="77"/>
      <c r="D137" s="77"/>
      <c r="E137" s="77"/>
      <c r="J137" s="31"/>
    </row>
    <row r="138" spans="2:10" x14ac:dyDescent="0.2">
      <c r="B138" s="77"/>
      <c r="C138" s="77"/>
      <c r="D138" s="77"/>
      <c r="E138" s="77"/>
    </row>
    <row r="139" spans="2:10" x14ac:dyDescent="0.2">
      <c r="F139" s="30"/>
      <c r="G139" s="30"/>
      <c r="H139" s="30"/>
      <c r="I139" s="30"/>
    </row>
    <row r="140" spans="2:10" x14ac:dyDescent="0.2">
      <c r="B140" s="79" t="s">
        <v>82</v>
      </c>
      <c r="C140" s="79"/>
      <c r="D140" s="79"/>
      <c r="E140" s="2" t="s">
        <v>5</v>
      </c>
      <c r="F140" s="4">
        <v>0.19</v>
      </c>
      <c r="G140" s="2" t="s">
        <v>83</v>
      </c>
      <c r="H140" s="29">
        <f t="shared" ref="H140:I142" si="4">H133*(1+$F$140)</f>
        <v>6862785.4791537905</v>
      </c>
      <c r="I140" s="29">
        <f t="shared" si="4"/>
        <v>6705201.1806839863</v>
      </c>
    </row>
    <row r="141" spans="2:10" x14ac:dyDescent="0.2">
      <c r="F141" s="2"/>
      <c r="G141" s="2" t="s">
        <v>84</v>
      </c>
      <c r="H141" s="29">
        <f t="shared" si="4"/>
        <v>6243786.9485512581</v>
      </c>
      <c r="I141" s="29">
        <f t="shared" si="4"/>
        <v>6137421.8153479137</v>
      </c>
    </row>
    <row r="142" spans="2:10" x14ac:dyDescent="0.2">
      <c r="F142" s="2"/>
      <c r="G142" s="2" t="s">
        <v>85</v>
      </c>
      <c r="H142" s="29">
        <f t="shared" si="4"/>
        <v>4632194.3158318661</v>
      </c>
      <c r="I142" s="29">
        <f t="shared" si="4"/>
        <v>4525829.1826285198</v>
      </c>
    </row>
  </sheetData>
  <mergeCells count="88">
    <mergeCell ref="H2:P2"/>
    <mergeCell ref="H4:J4"/>
    <mergeCell ref="B6:E11"/>
    <mergeCell ref="F10:F11"/>
    <mergeCell ref="B12:E18"/>
    <mergeCell ref="F17:F18"/>
    <mergeCell ref="B52:E52"/>
    <mergeCell ref="B19:E24"/>
    <mergeCell ref="F23:F24"/>
    <mergeCell ref="B25:E30"/>
    <mergeCell ref="F29:F30"/>
    <mergeCell ref="B31:F32"/>
    <mergeCell ref="B33:D37"/>
    <mergeCell ref="E36:F37"/>
    <mergeCell ref="B38:F39"/>
    <mergeCell ref="B41:F42"/>
    <mergeCell ref="B44:F45"/>
    <mergeCell ref="B46:F47"/>
    <mergeCell ref="B49:F50"/>
    <mergeCell ref="B64:E64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76:E76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103:E103"/>
    <mergeCell ref="B77:K77"/>
    <mergeCell ref="B85:K85"/>
    <mergeCell ref="B93:E93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15:E115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27:E127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37:E137"/>
    <mergeCell ref="B138:E138"/>
    <mergeCell ref="B140:D140"/>
    <mergeCell ref="B128:E128"/>
    <mergeCell ref="B129:E129"/>
    <mergeCell ref="B130:E130"/>
    <mergeCell ref="B131:E131"/>
    <mergeCell ref="B132:E132"/>
    <mergeCell ref="B133:D133"/>
  </mergeCells>
  <pageMargins left="0.7" right="0.7" top="0.75" bottom="0.75" header="0.3" footer="0.3"/>
  <pageSetup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E1A9B-CBBA-4D96-88F8-BC3CB3608EDF}">
  <dimension ref="B2:Q142"/>
  <sheetViews>
    <sheetView zoomScale="70" zoomScaleNormal="70" workbookViewId="0">
      <selection activeCell="H23" sqref="H23"/>
    </sheetView>
  </sheetViews>
  <sheetFormatPr defaultColWidth="9.140625" defaultRowHeight="14.25" x14ac:dyDescent="0.2"/>
  <cols>
    <col min="1" max="1" width="9.140625" style="1"/>
    <col min="2" max="2" width="15.7109375" style="1" bestFit="1" customWidth="1"/>
    <col min="3" max="3" width="17" style="1" bestFit="1" customWidth="1"/>
    <col min="4" max="4" width="15.7109375" style="1" bestFit="1" customWidth="1"/>
    <col min="5" max="5" width="18.85546875" style="1" bestFit="1" customWidth="1"/>
    <col min="6" max="6" width="15.42578125" style="1" bestFit="1" customWidth="1"/>
    <col min="7" max="7" width="20.7109375" style="1" bestFit="1" customWidth="1"/>
    <col min="8" max="8" width="31.28515625" style="1" bestFit="1" customWidth="1"/>
    <col min="9" max="9" width="29.42578125" style="1" bestFit="1" customWidth="1"/>
    <col min="10" max="10" width="25.140625" style="1" bestFit="1" customWidth="1"/>
    <col min="11" max="11" width="18.85546875" style="1" bestFit="1" customWidth="1"/>
    <col min="12" max="12" width="14.7109375" style="1" bestFit="1" customWidth="1"/>
    <col min="13" max="13" width="16" style="1" bestFit="1" customWidth="1"/>
    <col min="14" max="14" width="14.7109375" style="1" bestFit="1" customWidth="1"/>
    <col min="15" max="15" width="16" style="1" bestFit="1" customWidth="1"/>
    <col min="16" max="16" width="24.5703125" style="1" bestFit="1" customWidth="1"/>
    <col min="17" max="17" width="14.7109375" style="1" bestFit="1" customWidth="1"/>
    <col min="18" max="18" width="12.85546875" style="1" bestFit="1" customWidth="1"/>
    <col min="19" max="19" width="15.140625" style="1" bestFit="1" customWidth="1"/>
    <col min="20" max="20" width="19.5703125" style="1" bestFit="1" customWidth="1"/>
    <col min="21" max="21" width="22" style="1" bestFit="1" customWidth="1"/>
    <col min="22" max="23" width="19.5703125" style="1" bestFit="1" customWidth="1"/>
    <col min="24" max="24" width="22" style="1" bestFit="1" customWidth="1"/>
    <col min="25" max="16384" width="9.140625" style="1"/>
  </cols>
  <sheetData>
    <row r="2" spans="2:16" ht="15.75" x14ac:dyDescent="0.25">
      <c r="B2" s="21" t="s">
        <v>0</v>
      </c>
      <c r="C2" s="5">
        <v>4150</v>
      </c>
      <c r="H2" s="78"/>
      <c r="I2" s="78"/>
      <c r="J2" s="78"/>
      <c r="K2" s="78"/>
      <c r="L2" s="78"/>
      <c r="M2" s="78"/>
      <c r="N2" s="78"/>
      <c r="O2" s="78"/>
      <c r="P2" s="78"/>
    </row>
    <row r="3" spans="2:16" ht="18" x14ac:dyDescent="0.25">
      <c r="E3" s="9"/>
      <c r="F3" s="9"/>
      <c r="G3" s="9"/>
    </row>
    <row r="4" spans="2:16" ht="15.75" x14ac:dyDescent="0.2">
      <c r="H4" s="80" t="s">
        <v>99</v>
      </c>
      <c r="I4" s="81"/>
      <c r="J4" s="82"/>
    </row>
    <row r="5" spans="2:16" ht="15.75" x14ac:dyDescent="0.2">
      <c r="H5" s="20">
        <v>1</v>
      </c>
      <c r="I5" s="20">
        <v>25</v>
      </c>
      <c r="J5" s="20">
        <v>50</v>
      </c>
      <c r="K5" s="35"/>
    </row>
    <row r="6" spans="2:16" ht="14.25" customHeight="1" x14ac:dyDescent="0.2">
      <c r="B6" s="90" t="s">
        <v>1</v>
      </c>
      <c r="C6" s="91"/>
      <c r="D6" s="91"/>
      <c r="E6" s="92"/>
      <c r="F6" s="2" t="s">
        <v>2</v>
      </c>
      <c r="G6" s="2"/>
      <c r="H6" s="3">
        <v>90</v>
      </c>
      <c r="I6" s="3">
        <v>1650</v>
      </c>
      <c r="J6" s="3">
        <v>3040</v>
      </c>
      <c r="K6" s="36"/>
      <c r="M6" s="10"/>
    </row>
    <row r="7" spans="2:16" ht="14.25" customHeight="1" x14ac:dyDescent="0.2">
      <c r="B7" s="93"/>
      <c r="C7" s="94"/>
      <c r="D7" s="94"/>
      <c r="E7" s="95"/>
      <c r="F7" s="2" t="s">
        <v>3</v>
      </c>
      <c r="G7" s="3">
        <v>100</v>
      </c>
      <c r="H7" s="3">
        <v>10</v>
      </c>
      <c r="I7" s="3">
        <v>100</v>
      </c>
      <c r="J7" s="3">
        <v>100</v>
      </c>
      <c r="K7" s="36"/>
    </row>
    <row r="8" spans="2:16" ht="14.25" customHeight="1" x14ac:dyDescent="0.2">
      <c r="B8" s="93"/>
      <c r="C8" s="94"/>
      <c r="D8" s="94"/>
      <c r="E8" s="95"/>
      <c r="F8" s="48" t="s">
        <v>4</v>
      </c>
      <c r="G8" s="49">
        <v>0.1</v>
      </c>
      <c r="H8" s="50">
        <f>SUM(H6:H7)*$G$8</f>
        <v>10</v>
      </c>
      <c r="I8" s="50">
        <f>SUM(I6:I7)*$G$8</f>
        <v>175</v>
      </c>
      <c r="J8" s="50">
        <f>SUM(J6:J7)*$G$8</f>
        <v>314</v>
      </c>
      <c r="K8" s="36"/>
    </row>
    <row r="9" spans="2:16" ht="14.25" customHeight="1" x14ac:dyDescent="0.2">
      <c r="B9" s="93"/>
      <c r="C9" s="94"/>
      <c r="D9" s="94"/>
      <c r="E9" s="95"/>
      <c r="F9" s="45" t="s">
        <v>5</v>
      </c>
      <c r="G9" s="46">
        <v>0.19</v>
      </c>
      <c r="H9" s="47">
        <f>SUM(H6:H8)*$G$9</f>
        <v>20.9</v>
      </c>
      <c r="I9" s="47">
        <f>SUM(I6:I8)*$G$9</f>
        <v>365.75</v>
      </c>
      <c r="J9" s="47">
        <f>SUM(J6:J8)*$G$9</f>
        <v>656.26</v>
      </c>
      <c r="K9" s="36"/>
    </row>
    <row r="10" spans="2:16" ht="15" customHeight="1" x14ac:dyDescent="0.25">
      <c r="B10" s="93"/>
      <c r="C10" s="94"/>
      <c r="D10" s="94"/>
      <c r="E10" s="95"/>
      <c r="F10" s="75" t="s">
        <v>6</v>
      </c>
      <c r="G10" s="21" t="s">
        <v>94</v>
      </c>
      <c r="H10" s="5">
        <f>SUM(H6:H9)</f>
        <v>130.9</v>
      </c>
      <c r="I10" s="5">
        <f>SUM(I6:I9)</f>
        <v>2290.75</v>
      </c>
      <c r="J10" s="5">
        <f>SUM(J6:J9)</f>
        <v>4110.26</v>
      </c>
      <c r="K10" s="37"/>
    </row>
    <row r="11" spans="2:16" ht="15" customHeight="1" thickBot="1" x14ac:dyDescent="0.3">
      <c r="B11" s="96"/>
      <c r="C11" s="97"/>
      <c r="D11" s="97"/>
      <c r="E11" s="98"/>
      <c r="F11" s="76"/>
      <c r="G11" s="55" t="s">
        <v>95</v>
      </c>
      <c r="H11" s="56">
        <f>H10/H5</f>
        <v>130.9</v>
      </c>
      <c r="I11" s="56">
        <f>I10/I5</f>
        <v>91.63</v>
      </c>
      <c r="J11" s="56">
        <f>J10/J5</f>
        <v>82.205200000000005</v>
      </c>
      <c r="K11" s="37"/>
    </row>
    <row r="12" spans="2:16" ht="14.25" customHeight="1" thickTop="1" x14ac:dyDescent="0.2">
      <c r="B12" s="99" t="s">
        <v>7</v>
      </c>
      <c r="C12" s="100"/>
      <c r="D12" s="100"/>
      <c r="E12" s="101"/>
      <c r="F12" s="57" t="s">
        <v>8</v>
      </c>
      <c r="G12" s="57"/>
      <c r="H12" s="58">
        <v>6</v>
      </c>
      <c r="I12" s="58">
        <f>H12*25</f>
        <v>150</v>
      </c>
      <c r="J12" s="58">
        <f>I12*2</f>
        <v>300</v>
      </c>
      <c r="K12" s="36"/>
    </row>
    <row r="13" spans="2:16" ht="14.25" customHeight="1" x14ac:dyDescent="0.2">
      <c r="B13" s="93"/>
      <c r="C13" s="94"/>
      <c r="D13" s="94"/>
      <c r="E13" s="95"/>
      <c r="F13" s="2" t="s">
        <v>9</v>
      </c>
      <c r="G13" s="2"/>
      <c r="H13" s="3">
        <f>7+5+5</f>
        <v>17</v>
      </c>
      <c r="I13" s="3">
        <v>17</v>
      </c>
      <c r="J13" s="3">
        <v>17</v>
      </c>
      <c r="K13" s="36"/>
    </row>
    <row r="14" spans="2:16" ht="14.25" customHeight="1" x14ac:dyDescent="0.2">
      <c r="B14" s="93"/>
      <c r="C14" s="94"/>
      <c r="D14" s="94"/>
      <c r="E14" s="95"/>
      <c r="F14" s="2" t="s">
        <v>3</v>
      </c>
      <c r="G14" s="2"/>
      <c r="H14" s="3">
        <v>50</v>
      </c>
      <c r="I14" s="3">
        <v>120</v>
      </c>
      <c r="J14" s="3">
        <v>170</v>
      </c>
      <c r="K14" s="36"/>
    </row>
    <row r="15" spans="2:16" ht="14.25" customHeight="1" x14ac:dyDescent="0.2">
      <c r="B15" s="93"/>
      <c r="C15" s="94"/>
      <c r="D15" s="94"/>
      <c r="E15" s="95"/>
      <c r="F15" s="48" t="s">
        <v>4</v>
      </c>
      <c r="G15" s="49">
        <v>0.1</v>
      </c>
      <c r="H15" s="50">
        <f>SUM(H12:H14)*$G$15</f>
        <v>7.3000000000000007</v>
      </c>
      <c r="I15" s="50">
        <f>SUM(I12:I14)*$G$15</f>
        <v>28.700000000000003</v>
      </c>
      <c r="J15" s="50">
        <f>SUM(J12:J14)*$G$15</f>
        <v>48.7</v>
      </c>
      <c r="K15" s="36"/>
    </row>
    <row r="16" spans="2:16" ht="14.25" customHeight="1" x14ac:dyDescent="0.2">
      <c r="B16" s="93"/>
      <c r="C16" s="94"/>
      <c r="D16" s="94"/>
      <c r="E16" s="95"/>
      <c r="F16" s="45" t="s">
        <v>5</v>
      </c>
      <c r="G16" s="46">
        <v>0.19</v>
      </c>
      <c r="H16" s="47">
        <f>SUM(H12:H15)*$G$16</f>
        <v>15.257</v>
      </c>
      <c r="I16" s="47">
        <f>SUM(I12:I15)*$G$16</f>
        <v>59.982999999999997</v>
      </c>
      <c r="J16" s="47">
        <f>SUM(J12:J15)*$G$16</f>
        <v>101.78300000000002</v>
      </c>
      <c r="K16" s="36"/>
    </row>
    <row r="17" spans="2:11" ht="15" customHeight="1" x14ac:dyDescent="0.25">
      <c r="B17" s="93"/>
      <c r="C17" s="94"/>
      <c r="D17" s="94"/>
      <c r="E17" s="95"/>
      <c r="F17" s="75" t="s">
        <v>6</v>
      </c>
      <c r="G17" s="21" t="s">
        <v>94</v>
      </c>
      <c r="H17" s="5">
        <f>SUM(H12:H16)</f>
        <v>95.557000000000002</v>
      </c>
      <c r="I17" s="5">
        <f>SUM(I12:I16)</f>
        <v>375.68299999999999</v>
      </c>
      <c r="J17" s="5">
        <f>SUM(J12:J16)</f>
        <v>637.48300000000006</v>
      </c>
      <c r="K17" s="37"/>
    </row>
    <row r="18" spans="2:11" ht="15" customHeight="1" thickBot="1" x14ac:dyDescent="0.3">
      <c r="B18" s="96"/>
      <c r="C18" s="97"/>
      <c r="D18" s="97"/>
      <c r="E18" s="98"/>
      <c r="F18" s="76"/>
      <c r="G18" s="55" t="s">
        <v>95</v>
      </c>
      <c r="H18" s="56">
        <f>H17/H5</f>
        <v>95.557000000000002</v>
      </c>
      <c r="I18" s="56">
        <f>I17/I5</f>
        <v>15.02732</v>
      </c>
      <c r="J18" s="56">
        <f>J17/J5</f>
        <v>12.74966</v>
      </c>
      <c r="K18" s="37"/>
    </row>
    <row r="19" spans="2:11" ht="15" customHeight="1" thickTop="1" x14ac:dyDescent="0.25">
      <c r="B19" s="99" t="s">
        <v>15</v>
      </c>
      <c r="C19" s="100"/>
      <c r="D19" s="100"/>
      <c r="E19" s="101"/>
      <c r="F19" s="57" t="s">
        <v>16</v>
      </c>
      <c r="G19" s="57"/>
      <c r="H19" s="58">
        <v>10</v>
      </c>
      <c r="I19" s="58">
        <f>H19*25</f>
        <v>250</v>
      </c>
      <c r="J19" s="58">
        <f>I19*2</f>
        <v>500</v>
      </c>
      <c r="K19" s="37"/>
    </row>
    <row r="20" spans="2:11" ht="15" customHeight="1" x14ac:dyDescent="0.25">
      <c r="B20" s="93"/>
      <c r="C20" s="94"/>
      <c r="D20" s="94"/>
      <c r="E20" s="95"/>
      <c r="F20" s="2" t="s">
        <v>3</v>
      </c>
      <c r="G20" s="3"/>
      <c r="H20" s="3">
        <v>41</v>
      </c>
      <c r="I20" s="3">
        <v>342</v>
      </c>
      <c r="J20" s="3">
        <v>655</v>
      </c>
      <c r="K20" s="37"/>
    </row>
    <row r="21" spans="2:11" ht="15" customHeight="1" x14ac:dyDescent="0.25">
      <c r="B21" s="93"/>
      <c r="C21" s="94"/>
      <c r="D21" s="94"/>
      <c r="E21" s="95"/>
      <c r="F21" s="48" t="s">
        <v>4</v>
      </c>
      <c r="G21" s="49">
        <v>0.1</v>
      </c>
      <c r="H21" s="50">
        <f>H19*$G$21</f>
        <v>1</v>
      </c>
      <c r="I21" s="50">
        <f>I19*$G$21</f>
        <v>25</v>
      </c>
      <c r="J21" s="50">
        <f>J19*$G$21</f>
        <v>50</v>
      </c>
      <c r="K21" s="37"/>
    </row>
    <row r="22" spans="2:11" ht="15" customHeight="1" x14ac:dyDescent="0.25">
      <c r="B22" s="93"/>
      <c r="C22" s="94"/>
      <c r="D22" s="94"/>
      <c r="E22" s="95"/>
      <c r="F22" s="45" t="s">
        <v>5</v>
      </c>
      <c r="G22" s="46">
        <v>0.19</v>
      </c>
      <c r="H22" s="47">
        <f>(H19+H21)*$G$22</f>
        <v>2.09</v>
      </c>
      <c r="I22" s="47">
        <f>(I19+I21)*$G$22</f>
        <v>52.25</v>
      </c>
      <c r="J22" s="47">
        <f>(J19+J21)*$G$22</f>
        <v>104.5</v>
      </c>
      <c r="K22" s="37"/>
    </row>
    <row r="23" spans="2:11" ht="15" customHeight="1" x14ac:dyDescent="0.25">
      <c r="B23" s="93"/>
      <c r="C23" s="94"/>
      <c r="D23" s="94"/>
      <c r="E23" s="95"/>
      <c r="F23" s="75" t="s">
        <v>6</v>
      </c>
      <c r="G23" s="21" t="s">
        <v>94</v>
      </c>
      <c r="H23" s="5">
        <f>SUM(H19:H22)</f>
        <v>54.09</v>
      </c>
      <c r="I23" s="5">
        <f>SUM(I19:I22)</f>
        <v>669.25</v>
      </c>
      <c r="J23" s="5">
        <f>SUM(J19:J22)</f>
        <v>1309.5</v>
      </c>
      <c r="K23" s="37"/>
    </row>
    <row r="24" spans="2:11" ht="15" customHeight="1" thickBot="1" x14ac:dyDescent="0.3">
      <c r="B24" s="96"/>
      <c r="C24" s="97"/>
      <c r="D24" s="97"/>
      <c r="E24" s="98"/>
      <c r="F24" s="76"/>
      <c r="G24" s="55" t="s">
        <v>95</v>
      </c>
      <c r="H24" s="56">
        <f>H23/H5</f>
        <v>54.09</v>
      </c>
      <c r="I24" s="56">
        <f>I23/I5</f>
        <v>26.77</v>
      </c>
      <c r="J24" s="56">
        <f>J23/J5</f>
        <v>26.19</v>
      </c>
      <c r="K24" s="37"/>
    </row>
    <row r="25" spans="2:11" ht="15" customHeight="1" thickTop="1" x14ac:dyDescent="0.25">
      <c r="B25" s="99" t="s">
        <v>87</v>
      </c>
      <c r="C25" s="100"/>
      <c r="D25" s="100"/>
      <c r="E25" s="101"/>
      <c r="F25" s="53" t="s">
        <v>86</v>
      </c>
      <c r="G25" s="60"/>
      <c r="H25" s="54">
        <v>25</v>
      </c>
      <c r="I25" s="54">
        <f>H25*25</f>
        <v>625</v>
      </c>
      <c r="J25" s="54">
        <f>I25*2</f>
        <v>1250</v>
      </c>
      <c r="K25" s="37"/>
    </row>
    <row r="26" spans="2:11" ht="15" customHeight="1" x14ac:dyDescent="0.25">
      <c r="B26" s="93"/>
      <c r="C26" s="94"/>
      <c r="D26" s="94"/>
      <c r="E26" s="95"/>
      <c r="F26" s="2" t="s">
        <v>3</v>
      </c>
      <c r="G26" s="3"/>
      <c r="H26" s="3">
        <v>10</v>
      </c>
      <c r="I26" s="3">
        <v>120</v>
      </c>
      <c r="J26" s="3">
        <v>120</v>
      </c>
      <c r="K26" s="37"/>
    </row>
    <row r="27" spans="2:11" ht="15" customHeight="1" x14ac:dyDescent="0.25">
      <c r="B27" s="93"/>
      <c r="C27" s="94"/>
      <c r="D27" s="94"/>
      <c r="E27" s="95"/>
      <c r="F27" s="48" t="s">
        <v>4</v>
      </c>
      <c r="G27" s="49">
        <v>0.1</v>
      </c>
      <c r="H27" s="50">
        <f>H25*$G$27</f>
        <v>2.5</v>
      </c>
      <c r="I27" s="50">
        <f>I25*$G$27</f>
        <v>62.5</v>
      </c>
      <c r="J27" s="50">
        <f>J25*$G$27</f>
        <v>125</v>
      </c>
      <c r="K27" s="37"/>
    </row>
    <row r="28" spans="2:11" ht="15" customHeight="1" x14ac:dyDescent="0.25">
      <c r="B28" s="93"/>
      <c r="C28" s="94"/>
      <c r="D28" s="94"/>
      <c r="E28" s="95"/>
      <c r="F28" s="45" t="s">
        <v>5</v>
      </c>
      <c r="G28" s="46">
        <v>0.19</v>
      </c>
      <c r="H28" s="47">
        <f>(H25+H27)*$G$28</f>
        <v>5.2249999999999996</v>
      </c>
      <c r="I28" s="47">
        <f>(I25+I27)*$G$28</f>
        <v>130.625</v>
      </c>
      <c r="J28" s="47">
        <f>(J25+J27)*$G$28</f>
        <v>261.25</v>
      </c>
      <c r="K28" s="37"/>
    </row>
    <row r="29" spans="2:11" ht="15" customHeight="1" x14ac:dyDescent="0.25">
      <c r="B29" s="93"/>
      <c r="C29" s="94"/>
      <c r="D29" s="94"/>
      <c r="E29" s="95"/>
      <c r="F29" s="75" t="s">
        <v>6</v>
      </c>
      <c r="G29" s="21" t="s">
        <v>94</v>
      </c>
      <c r="H29" s="5">
        <f>SUM(H25:H28)</f>
        <v>42.725000000000001</v>
      </c>
      <c r="I29" s="5">
        <f>SUM(I25:I28)</f>
        <v>938.125</v>
      </c>
      <c r="J29" s="5">
        <f>SUM(J25:J28)</f>
        <v>1756.25</v>
      </c>
      <c r="K29" s="37"/>
    </row>
    <row r="30" spans="2:11" ht="15" customHeight="1" thickBot="1" x14ac:dyDescent="0.3">
      <c r="B30" s="96"/>
      <c r="C30" s="97"/>
      <c r="D30" s="97"/>
      <c r="E30" s="98"/>
      <c r="F30" s="76"/>
      <c r="G30" s="55" t="s">
        <v>95</v>
      </c>
      <c r="H30" s="56">
        <f>H29/H5</f>
        <v>42.725000000000001</v>
      </c>
      <c r="I30" s="56">
        <f>I29/I5</f>
        <v>37.524999999999999</v>
      </c>
      <c r="J30" s="56">
        <f>J29/J5</f>
        <v>35.125</v>
      </c>
      <c r="K30" s="37"/>
    </row>
    <row r="31" spans="2:11" ht="15" customHeight="1" thickTop="1" x14ac:dyDescent="0.25">
      <c r="B31" s="84" t="s">
        <v>97</v>
      </c>
      <c r="C31" s="85"/>
      <c r="D31" s="85"/>
      <c r="E31" s="85"/>
      <c r="F31" s="86"/>
      <c r="G31" s="61" t="s">
        <v>90</v>
      </c>
      <c r="H31" s="62">
        <f>SUM(H29,H23,H17,H10)</f>
        <v>323.27200000000005</v>
      </c>
      <c r="I31" s="62">
        <f>SUM(I29,I23,I17,I10)</f>
        <v>4273.808</v>
      </c>
      <c r="J31" s="62">
        <f>SUM(J29,J23,J17,J10)</f>
        <v>7813.4930000000004</v>
      </c>
      <c r="K31" s="37"/>
    </row>
    <row r="32" spans="2:11" ht="15" customHeight="1" thickBot="1" x14ac:dyDescent="0.3">
      <c r="B32" s="87"/>
      <c r="C32" s="88"/>
      <c r="D32" s="88"/>
      <c r="E32" s="88"/>
      <c r="F32" s="89"/>
      <c r="G32" s="63" t="s">
        <v>91</v>
      </c>
      <c r="H32" s="59">
        <f>SUM(H17,H10,H23,H29)*$C$2</f>
        <v>1341578.8000000003</v>
      </c>
      <c r="I32" s="59">
        <f>SUM(I17,I10,I23,I29)*$C$2</f>
        <v>17736303.199999999</v>
      </c>
      <c r="J32" s="59">
        <f>SUM(J17,J10,J23,J29)*$C$2</f>
        <v>32425995.950000003</v>
      </c>
      <c r="K32" s="37"/>
    </row>
    <row r="33" spans="2:11" ht="14.25" customHeight="1" thickTop="1" x14ac:dyDescent="0.2">
      <c r="B33" s="105" t="s">
        <v>96</v>
      </c>
      <c r="C33" s="105"/>
      <c r="D33" s="105"/>
      <c r="E33" s="53" t="s">
        <v>10</v>
      </c>
      <c r="F33" s="60">
        <v>0.05</v>
      </c>
      <c r="G33" s="60"/>
      <c r="H33" s="54">
        <f>H32*$F$33</f>
        <v>67078.940000000017</v>
      </c>
      <c r="I33" s="54">
        <f>I32*$F$33</f>
        <v>886815.16</v>
      </c>
      <c r="J33" s="54">
        <f>J32*$F$33</f>
        <v>1621299.7975000003</v>
      </c>
      <c r="K33" s="36"/>
    </row>
    <row r="34" spans="2:11" ht="14.25" customHeight="1" x14ac:dyDescent="0.2">
      <c r="B34" s="106"/>
      <c r="C34" s="106"/>
      <c r="D34" s="106"/>
      <c r="E34" s="2" t="s">
        <v>11</v>
      </c>
      <c r="F34" s="6">
        <v>1000</v>
      </c>
      <c r="G34" s="7">
        <v>32</v>
      </c>
      <c r="H34" s="3">
        <v>60000</v>
      </c>
      <c r="I34" s="3">
        <v>85000</v>
      </c>
      <c r="J34" s="3">
        <v>145000</v>
      </c>
      <c r="K34" s="36"/>
    </row>
    <row r="35" spans="2:11" ht="14.25" customHeight="1" x14ac:dyDescent="0.2">
      <c r="B35" s="106"/>
      <c r="C35" s="106"/>
      <c r="D35" s="106"/>
      <c r="E35" s="2" t="s">
        <v>12</v>
      </c>
      <c r="F35" s="6">
        <f>ROUND(1400000/30,0)/8</f>
        <v>5833.375</v>
      </c>
      <c r="G35" s="7">
        <v>64</v>
      </c>
      <c r="H35" s="3">
        <v>120000</v>
      </c>
      <c r="I35" s="3">
        <v>712500</v>
      </c>
      <c r="J35" s="3">
        <v>1325000</v>
      </c>
      <c r="K35" s="36">
        <f>+J34+J35</f>
        <v>1470000</v>
      </c>
    </row>
    <row r="36" spans="2:11" ht="14.25" customHeight="1" x14ac:dyDescent="0.25">
      <c r="B36" s="106"/>
      <c r="C36" s="106"/>
      <c r="D36" s="106"/>
      <c r="E36" s="110" t="s">
        <v>6</v>
      </c>
      <c r="F36" s="111"/>
      <c r="G36" s="21" t="s">
        <v>94</v>
      </c>
      <c r="H36" s="5">
        <f>SUM(H33:H35)</f>
        <v>247078.94</v>
      </c>
      <c r="I36" s="5">
        <f>SUM(I33:I35)</f>
        <v>1684315.1600000001</v>
      </c>
      <c r="J36" s="5">
        <f>SUM(J33:J35)</f>
        <v>3091299.7975000003</v>
      </c>
      <c r="K36" s="36">
        <f>+K35/50</f>
        <v>29400</v>
      </c>
    </row>
    <row r="37" spans="2:11" ht="14.25" customHeight="1" thickBot="1" x14ac:dyDescent="0.25">
      <c r="B37" s="106"/>
      <c r="C37" s="106"/>
      <c r="D37" s="106"/>
      <c r="E37" s="112"/>
      <c r="F37" s="113"/>
      <c r="G37" s="55" t="s">
        <v>95</v>
      </c>
      <c r="H37" s="56">
        <f>H36/H5</f>
        <v>247078.94</v>
      </c>
      <c r="I37" s="56">
        <f>I36/I5</f>
        <v>67372.606400000004</v>
      </c>
      <c r="J37" s="56">
        <f>J36/J5</f>
        <v>61825.995950000004</v>
      </c>
      <c r="K37" s="36"/>
    </row>
    <row r="38" spans="2:11" ht="18.75" thickTop="1" x14ac:dyDescent="0.25">
      <c r="B38" s="114" t="s">
        <v>13</v>
      </c>
      <c r="C38" s="115"/>
      <c r="D38" s="115"/>
      <c r="E38" s="115"/>
      <c r="F38" s="116"/>
      <c r="G38" s="43" t="s">
        <v>91</v>
      </c>
      <c r="H38" s="8">
        <f>SUM(H32:H35)</f>
        <v>1588657.7400000002</v>
      </c>
      <c r="I38" s="8">
        <f>SUM(I32:I35)</f>
        <v>19420618.359999999</v>
      </c>
      <c r="J38" s="8">
        <f>SUM(J32:J35)</f>
        <v>35517295.747500002</v>
      </c>
      <c r="K38" s="38"/>
    </row>
    <row r="39" spans="2:11" ht="18" x14ac:dyDescent="0.25">
      <c r="B39" s="117"/>
      <c r="C39" s="118"/>
      <c r="D39" s="118"/>
      <c r="E39" s="118"/>
      <c r="F39" s="119"/>
      <c r="G39" s="40" t="s">
        <v>90</v>
      </c>
      <c r="H39" s="8">
        <f>H38/$C$2</f>
        <v>382.80909397590369</v>
      </c>
      <c r="I39" s="8">
        <f>I38/$C$2</f>
        <v>4679.6670746987947</v>
      </c>
      <c r="J39" s="8">
        <f>J38/$C$2</f>
        <v>8558.3845174698799</v>
      </c>
      <c r="K39" s="42"/>
    </row>
    <row r="40" spans="2:11" ht="18" x14ac:dyDescent="0.25">
      <c r="B40" s="64"/>
      <c r="C40" s="64"/>
      <c r="D40" s="64"/>
      <c r="E40" s="64"/>
      <c r="F40" s="64"/>
      <c r="G40" s="65"/>
      <c r="H40" s="66"/>
      <c r="I40" s="66"/>
      <c r="J40" s="66"/>
      <c r="K40" s="42"/>
    </row>
    <row r="41" spans="2:11" ht="18" x14ac:dyDescent="0.25">
      <c r="B41" s="83" t="s">
        <v>14</v>
      </c>
      <c r="C41" s="83"/>
      <c r="D41" s="83"/>
      <c r="E41" s="83"/>
      <c r="F41" s="83"/>
      <c r="G41" s="43" t="s">
        <v>91</v>
      </c>
      <c r="H41" s="8">
        <f>H38/H5</f>
        <v>1588657.7400000002</v>
      </c>
      <c r="I41" s="8">
        <f>I38/I5</f>
        <v>776824.73439999996</v>
      </c>
      <c r="J41" s="8">
        <f>J38/J5</f>
        <v>710345.91495000001</v>
      </c>
      <c r="K41" s="42"/>
    </row>
    <row r="42" spans="2:11" ht="18" x14ac:dyDescent="0.25">
      <c r="B42" s="83"/>
      <c r="C42" s="83"/>
      <c r="D42" s="83"/>
      <c r="E42" s="83"/>
      <c r="F42" s="83"/>
      <c r="G42" s="40" t="s">
        <v>90</v>
      </c>
      <c r="H42" s="8">
        <f>H41/$C$2</f>
        <v>382.80909397590369</v>
      </c>
      <c r="I42" s="8">
        <f>I41/$C$2</f>
        <v>187.1866829879518</v>
      </c>
      <c r="J42" s="8">
        <f>J41/$C$2</f>
        <v>171.16769034939759</v>
      </c>
      <c r="K42" s="42"/>
    </row>
    <row r="43" spans="2:11" ht="18" x14ac:dyDescent="0.25">
      <c r="B43" s="44"/>
      <c r="C43" s="44"/>
      <c r="D43" s="44"/>
      <c r="E43" s="44"/>
      <c r="F43" s="44"/>
      <c r="G43" s="41"/>
      <c r="H43" s="67"/>
      <c r="I43" s="42"/>
      <c r="J43" s="42"/>
      <c r="K43" s="42"/>
    </row>
    <row r="44" spans="2:11" ht="18" x14ac:dyDescent="0.25">
      <c r="B44" s="83" t="s">
        <v>92</v>
      </c>
      <c r="C44" s="83"/>
      <c r="D44" s="83"/>
      <c r="E44" s="83"/>
      <c r="F44" s="83"/>
      <c r="G44" s="51" t="s">
        <v>90</v>
      </c>
      <c r="H44" s="52">
        <f>SUM(H8,H15,H21,H27)</f>
        <v>20.8</v>
      </c>
      <c r="I44" s="52">
        <f>SUM(I8,I15,I21,I27)</f>
        <v>291.2</v>
      </c>
      <c r="J44" s="52">
        <f>SUM(J8,J15,J21,J27)</f>
        <v>537.70000000000005</v>
      </c>
      <c r="K44" s="42"/>
    </row>
    <row r="45" spans="2:11" ht="18" x14ac:dyDescent="0.25">
      <c r="B45" s="83"/>
      <c r="C45" s="83"/>
      <c r="D45" s="83"/>
      <c r="E45" s="83"/>
      <c r="F45" s="83"/>
      <c r="G45" s="43" t="s">
        <v>91</v>
      </c>
      <c r="H45" s="8">
        <f>H44*$C$2</f>
        <v>86320</v>
      </c>
      <c r="I45" s="8">
        <f t="shared" ref="I45:J45" si="0">I44*$C$2</f>
        <v>1208480</v>
      </c>
      <c r="J45" s="8">
        <f t="shared" si="0"/>
        <v>2231455</v>
      </c>
      <c r="K45" s="42"/>
    </row>
    <row r="46" spans="2:11" ht="18" x14ac:dyDescent="0.25">
      <c r="B46" s="83" t="s">
        <v>5</v>
      </c>
      <c r="C46" s="83"/>
      <c r="D46" s="83"/>
      <c r="E46" s="83"/>
      <c r="F46" s="83"/>
      <c r="G46" s="51" t="s">
        <v>90</v>
      </c>
      <c r="H46" s="52">
        <f>SUM(H9,H16,H22,H28)</f>
        <v>43.472000000000001</v>
      </c>
      <c r="I46" s="52">
        <f>SUM(I9,I16,I22,I28)</f>
        <v>608.60799999999995</v>
      </c>
      <c r="J46" s="52">
        <f>SUM(J9,J16,J22,J28)</f>
        <v>1123.7930000000001</v>
      </c>
      <c r="K46" s="42"/>
    </row>
    <row r="47" spans="2:11" ht="18" x14ac:dyDescent="0.25">
      <c r="B47" s="83"/>
      <c r="C47" s="83"/>
      <c r="D47" s="83"/>
      <c r="E47" s="83"/>
      <c r="F47" s="83"/>
      <c r="G47" s="43" t="s">
        <v>91</v>
      </c>
      <c r="H47" s="8">
        <f>H46*$C$2</f>
        <v>180408.80000000002</v>
      </c>
      <c r="I47" s="8">
        <f t="shared" ref="I47:J47" si="1">I46*$C$2</f>
        <v>2525723.1999999997</v>
      </c>
      <c r="J47" s="8">
        <f t="shared" si="1"/>
        <v>4663740.95</v>
      </c>
      <c r="K47" s="42"/>
    </row>
    <row r="48" spans="2:11" ht="18" x14ac:dyDescent="0.25">
      <c r="B48" s="44"/>
      <c r="C48" s="44"/>
      <c r="D48" s="44"/>
      <c r="E48" s="44"/>
      <c r="F48" s="44"/>
      <c r="G48" s="41"/>
      <c r="H48" s="42"/>
      <c r="I48" s="42"/>
      <c r="J48" s="42"/>
      <c r="K48" s="42"/>
    </row>
    <row r="49" spans="2:17" ht="18" x14ac:dyDescent="0.25">
      <c r="B49" s="83" t="s">
        <v>93</v>
      </c>
      <c r="C49" s="83"/>
      <c r="D49" s="83"/>
      <c r="E49" s="83"/>
      <c r="F49" s="83"/>
      <c r="G49" s="43" t="s">
        <v>91</v>
      </c>
      <c r="H49" s="8">
        <f>(H38-H47)/H5</f>
        <v>1408248.9400000002</v>
      </c>
      <c r="I49" s="8">
        <f>(I38-I47)/I5</f>
        <v>675795.8064</v>
      </c>
      <c r="J49" s="8">
        <f>(J38-J47)/J5</f>
        <v>617071.0959500001</v>
      </c>
      <c r="K49" s="42"/>
    </row>
    <row r="50" spans="2:17" ht="18" x14ac:dyDescent="0.25">
      <c r="B50" s="83"/>
      <c r="C50" s="83"/>
      <c r="D50" s="83"/>
      <c r="E50" s="83"/>
      <c r="F50" s="83"/>
      <c r="G50" s="40" t="s">
        <v>90</v>
      </c>
      <c r="H50" s="8">
        <f>H49/$C$2</f>
        <v>339.33709397590366</v>
      </c>
      <c r="I50" s="8">
        <f t="shared" ref="I50:J50" si="2">I49/$C$2</f>
        <v>162.84236298795182</v>
      </c>
      <c r="J50" s="8">
        <f t="shared" si="2"/>
        <v>148.69183034939761</v>
      </c>
      <c r="K50" s="42"/>
    </row>
    <row r="52" spans="2:17" x14ac:dyDescent="0.2">
      <c r="B52" s="79" t="s">
        <v>17</v>
      </c>
      <c r="C52" s="79"/>
      <c r="D52" s="79"/>
      <c r="E52" s="79"/>
      <c r="F52" s="2"/>
      <c r="G52" s="2"/>
      <c r="H52" s="11">
        <v>2800000</v>
      </c>
      <c r="I52" s="11">
        <v>2800000</v>
      </c>
      <c r="J52" s="11">
        <v>2800000</v>
      </c>
      <c r="L52" s="14"/>
      <c r="M52" s="14"/>
      <c r="N52" s="14"/>
      <c r="O52" s="14"/>
      <c r="P52" s="14"/>
      <c r="Q52" s="14"/>
    </row>
    <row r="53" spans="2:17" x14ac:dyDescent="0.2">
      <c r="B53" s="79" t="s">
        <v>18</v>
      </c>
      <c r="C53" s="79"/>
      <c r="D53" s="79"/>
      <c r="E53" s="79"/>
      <c r="F53" s="2"/>
      <c r="G53" s="2"/>
      <c r="H53" s="11">
        <f>H41</f>
        <v>1588657.7400000002</v>
      </c>
      <c r="I53" s="11">
        <f>I41</f>
        <v>776824.73439999996</v>
      </c>
      <c r="J53" s="11">
        <f>J41</f>
        <v>710345.91495000001</v>
      </c>
      <c r="L53" s="14"/>
      <c r="M53" s="14"/>
      <c r="N53" s="14"/>
      <c r="O53" s="14"/>
      <c r="P53" s="14"/>
      <c r="Q53" s="14"/>
    </row>
    <row r="54" spans="2:17" s="15" customFormat="1" ht="15" x14ac:dyDescent="0.25">
      <c r="B54" s="102" t="s">
        <v>19</v>
      </c>
      <c r="C54" s="102"/>
      <c r="D54" s="102"/>
      <c r="E54" s="102"/>
      <c r="F54" s="21"/>
      <c r="G54" s="21"/>
      <c r="H54" s="12">
        <f>H52-H53</f>
        <v>1211342.2599999998</v>
      </c>
      <c r="I54" s="12">
        <f>I52-I53</f>
        <v>2023175.2656</v>
      </c>
      <c r="J54" s="12">
        <f>J52-J53</f>
        <v>2089654.0850499999</v>
      </c>
      <c r="L54" s="16"/>
      <c r="M54" s="16"/>
      <c r="N54" s="16"/>
      <c r="O54" s="16"/>
      <c r="P54" s="16"/>
      <c r="Q54" s="16"/>
    </row>
    <row r="55" spans="2:17" s="15" customFormat="1" ht="15" x14ac:dyDescent="0.25">
      <c r="B55" s="102" t="s">
        <v>20</v>
      </c>
      <c r="C55" s="102"/>
      <c r="D55" s="102"/>
      <c r="E55" s="102"/>
      <c r="F55" s="21"/>
      <c r="G55" s="21"/>
      <c r="H55" s="22">
        <f>(H52-H53)/H52</f>
        <v>0.43262223571428565</v>
      </c>
      <c r="I55" s="22">
        <f>(I52-I53)/I52</f>
        <v>0.72256259485714291</v>
      </c>
      <c r="J55" s="22">
        <f>(J52-J53)/J52</f>
        <v>0.74630503037499996</v>
      </c>
      <c r="L55" s="17"/>
      <c r="M55" s="16"/>
      <c r="N55" s="16"/>
      <c r="O55" s="16"/>
      <c r="P55" s="16"/>
      <c r="Q55" s="16"/>
    </row>
    <row r="56" spans="2:17" x14ac:dyDescent="0.2">
      <c r="B56" s="79" t="s">
        <v>21</v>
      </c>
      <c r="C56" s="79"/>
      <c r="D56" s="79"/>
      <c r="E56" s="79"/>
      <c r="F56" s="4">
        <v>0.04</v>
      </c>
      <c r="G56" s="2"/>
      <c r="H56" s="11">
        <f t="shared" ref="H56:J62" si="3">H$52*$F56</f>
        <v>112000</v>
      </c>
      <c r="I56" s="11">
        <f t="shared" si="3"/>
        <v>112000</v>
      </c>
      <c r="J56" s="11">
        <f t="shared" si="3"/>
        <v>112000</v>
      </c>
      <c r="L56" s="14"/>
      <c r="M56" s="14"/>
      <c r="N56" s="14"/>
      <c r="O56" s="14"/>
      <c r="P56" s="14"/>
      <c r="Q56" s="14"/>
    </row>
    <row r="57" spans="2:17" x14ac:dyDescent="0.2">
      <c r="B57" s="79" t="s">
        <v>22</v>
      </c>
      <c r="C57" s="79"/>
      <c r="D57" s="79"/>
      <c r="E57" s="79"/>
      <c r="F57" s="4">
        <v>0.03</v>
      </c>
      <c r="G57" s="2"/>
      <c r="H57" s="11">
        <f t="shared" si="3"/>
        <v>84000</v>
      </c>
      <c r="I57" s="11">
        <f t="shared" si="3"/>
        <v>84000</v>
      </c>
      <c r="J57" s="11">
        <f t="shared" si="3"/>
        <v>84000</v>
      </c>
      <c r="L57" s="14"/>
      <c r="M57" s="14"/>
      <c r="N57" s="14"/>
      <c r="O57" s="14"/>
      <c r="P57" s="14"/>
      <c r="Q57" s="14"/>
    </row>
    <row r="58" spans="2:17" x14ac:dyDescent="0.2">
      <c r="B58" s="79" t="s">
        <v>23</v>
      </c>
      <c r="C58" s="79"/>
      <c r="D58" s="79"/>
      <c r="E58" s="79"/>
      <c r="F58" s="4">
        <v>0.05</v>
      </c>
      <c r="G58" s="2"/>
      <c r="H58" s="11">
        <f t="shared" si="3"/>
        <v>140000</v>
      </c>
      <c r="I58" s="11">
        <f t="shared" si="3"/>
        <v>140000</v>
      </c>
      <c r="J58" s="11">
        <f t="shared" si="3"/>
        <v>140000</v>
      </c>
      <c r="L58" s="14"/>
      <c r="M58" s="14"/>
      <c r="N58" s="14"/>
      <c r="O58" s="14"/>
      <c r="P58" s="14"/>
      <c r="Q58" s="14"/>
    </row>
    <row r="59" spans="2:17" x14ac:dyDescent="0.2">
      <c r="B59" s="79" t="s">
        <v>24</v>
      </c>
      <c r="C59" s="79"/>
      <c r="D59" s="79"/>
      <c r="E59" s="79"/>
      <c r="F59" s="4">
        <v>0.02</v>
      </c>
      <c r="G59" s="2"/>
      <c r="H59" s="11">
        <f t="shared" si="3"/>
        <v>56000</v>
      </c>
      <c r="I59" s="11">
        <f t="shared" si="3"/>
        <v>56000</v>
      </c>
      <c r="J59" s="11">
        <f t="shared" si="3"/>
        <v>56000</v>
      </c>
      <c r="L59" s="14"/>
      <c r="M59" s="14"/>
      <c r="N59" s="14"/>
      <c r="O59" s="14"/>
      <c r="P59" s="14"/>
      <c r="Q59" s="14"/>
    </row>
    <row r="60" spans="2:17" x14ac:dyDescent="0.2">
      <c r="B60" s="79" t="s">
        <v>25</v>
      </c>
      <c r="C60" s="79"/>
      <c r="D60" s="79"/>
      <c r="E60" s="79"/>
      <c r="F60" s="4">
        <v>0.01</v>
      </c>
      <c r="G60" s="2"/>
      <c r="H60" s="11">
        <f t="shared" si="3"/>
        <v>28000</v>
      </c>
      <c r="I60" s="11">
        <f t="shared" si="3"/>
        <v>28000</v>
      </c>
      <c r="J60" s="11">
        <f t="shared" si="3"/>
        <v>28000</v>
      </c>
      <c r="L60" s="14"/>
      <c r="M60" s="14"/>
      <c r="N60" s="14"/>
      <c r="O60" s="14"/>
      <c r="P60" s="14"/>
      <c r="Q60" s="14"/>
    </row>
    <row r="61" spans="2:17" x14ac:dyDescent="0.2">
      <c r="B61" s="79" t="s">
        <v>26</v>
      </c>
      <c r="C61" s="79"/>
      <c r="D61" s="79"/>
      <c r="E61" s="79"/>
      <c r="F61" s="4">
        <v>0.1</v>
      </c>
      <c r="G61" s="2"/>
      <c r="H61" s="11">
        <f t="shared" si="3"/>
        <v>280000</v>
      </c>
      <c r="I61" s="11">
        <f t="shared" si="3"/>
        <v>280000</v>
      </c>
      <c r="J61" s="11">
        <f t="shared" si="3"/>
        <v>280000</v>
      </c>
      <c r="L61" s="14"/>
      <c r="M61" s="14"/>
      <c r="N61" s="14"/>
      <c r="O61" s="14"/>
      <c r="P61" s="14"/>
      <c r="Q61" s="14"/>
    </row>
    <row r="62" spans="2:17" x14ac:dyDescent="0.2">
      <c r="B62" s="79" t="s">
        <v>27</v>
      </c>
      <c r="C62" s="79"/>
      <c r="D62" s="79"/>
      <c r="E62" s="79"/>
      <c r="F62" s="4">
        <v>0.02</v>
      </c>
      <c r="G62" s="2"/>
      <c r="H62" s="11">
        <f t="shared" si="3"/>
        <v>56000</v>
      </c>
      <c r="I62" s="11">
        <f t="shared" si="3"/>
        <v>56000</v>
      </c>
      <c r="J62" s="11">
        <f t="shared" si="3"/>
        <v>56000</v>
      </c>
      <c r="L62" s="14"/>
      <c r="M62" s="14"/>
      <c r="N62" s="14"/>
      <c r="O62" s="14"/>
      <c r="P62" s="14"/>
      <c r="Q62" s="14"/>
    </row>
    <row r="63" spans="2:17" ht="15" x14ac:dyDescent="0.25">
      <c r="B63" s="102" t="s">
        <v>28</v>
      </c>
      <c r="C63" s="102"/>
      <c r="D63" s="102"/>
      <c r="E63" s="102"/>
      <c r="F63" s="23"/>
      <c r="G63" s="21"/>
      <c r="H63" s="12">
        <f>SUM(H56:H62)</f>
        <v>756000</v>
      </c>
      <c r="I63" s="12">
        <f>SUM(I56:I62)</f>
        <v>756000</v>
      </c>
      <c r="J63" s="12">
        <f>SUM(J56:J62)</f>
        <v>756000</v>
      </c>
      <c r="L63" s="16"/>
      <c r="M63" s="16"/>
      <c r="N63" s="16"/>
      <c r="O63" s="16"/>
      <c r="P63" s="16"/>
      <c r="Q63" s="16"/>
    </row>
    <row r="64" spans="2:17" s="15" customFormat="1" ht="15" x14ac:dyDescent="0.25">
      <c r="B64" s="102" t="s">
        <v>29</v>
      </c>
      <c r="C64" s="102"/>
      <c r="D64" s="102"/>
      <c r="E64" s="102"/>
      <c r="F64" s="23"/>
      <c r="G64" s="21"/>
      <c r="H64" s="12">
        <f>H54-H63</f>
        <v>455342.25999999978</v>
      </c>
      <c r="I64" s="12">
        <f>I54-I63</f>
        <v>1267175.2656</v>
      </c>
      <c r="J64" s="12">
        <f>J54-J63</f>
        <v>1333654.0850499999</v>
      </c>
      <c r="L64" s="16"/>
      <c r="M64" s="16"/>
      <c r="N64" s="16"/>
      <c r="O64" s="16"/>
      <c r="P64" s="16"/>
      <c r="Q64" s="16"/>
    </row>
    <row r="65" spans="2:17" s="15" customFormat="1" ht="15" x14ac:dyDescent="0.25">
      <c r="B65" s="102" t="s">
        <v>30</v>
      </c>
      <c r="C65" s="102"/>
      <c r="D65" s="102"/>
      <c r="E65" s="102"/>
      <c r="F65" s="23"/>
      <c r="G65" s="21"/>
      <c r="H65" s="24">
        <f>H64/H52</f>
        <v>0.16262223571428563</v>
      </c>
      <c r="I65" s="24">
        <f>I64/I52</f>
        <v>0.4525625948571429</v>
      </c>
      <c r="J65" s="24">
        <f>J64/J52</f>
        <v>0.47630503037499994</v>
      </c>
      <c r="L65" s="39"/>
      <c r="M65" s="16"/>
      <c r="N65" s="16"/>
      <c r="O65" s="16"/>
      <c r="P65" s="16"/>
      <c r="Q65" s="16"/>
    </row>
    <row r="66" spans="2:17" x14ac:dyDescent="0.2">
      <c r="B66" s="79" t="s">
        <v>31</v>
      </c>
      <c r="C66" s="79"/>
      <c r="D66" s="79"/>
      <c r="E66" s="79"/>
      <c r="F66" s="4">
        <v>0.02</v>
      </c>
      <c r="G66" s="2"/>
      <c r="H66" s="11">
        <f>H52*$F66</f>
        <v>56000</v>
      </c>
      <c r="I66" s="11">
        <f>I52*$F66</f>
        <v>56000</v>
      </c>
      <c r="J66" s="11">
        <f>J52*$F66</f>
        <v>56000</v>
      </c>
      <c r="L66" s="14"/>
      <c r="M66" s="14"/>
      <c r="N66" s="14"/>
      <c r="O66" s="14"/>
      <c r="P66" s="14"/>
      <c r="Q66" s="14"/>
    </row>
    <row r="67" spans="2:17" s="15" customFormat="1" ht="15" x14ac:dyDescent="0.25">
      <c r="B67" s="102" t="s">
        <v>32</v>
      </c>
      <c r="C67" s="102"/>
      <c r="D67" s="102"/>
      <c r="E67" s="102"/>
      <c r="F67" s="21"/>
      <c r="G67" s="21"/>
      <c r="H67" s="12">
        <f>H64-H66</f>
        <v>399342.25999999978</v>
      </c>
      <c r="I67" s="12">
        <f>I64-I66</f>
        <v>1211175.2656</v>
      </c>
      <c r="J67" s="12">
        <f>J64-J66</f>
        <v>1277654.0850499999</v>
      </c>
      <c r="L67" s="16"/>
      <c r="M67" s="16"/>
      <c r="N67" s="16"/>
      <c r="O67" s="16"/>
      <c r="P67" s="16"/>
      <c r="Q67" s="16"/>
    </row>
    <row r="68" spans="2:17" s="15" customFormat="1" ht="15" x14ac:dyDescent="0.25">
      <c r="B68" s="102" t="s">
        <v>33</v>
      </c>
      <c r="C68" s="102"/>
      <c r="D68" s="102"/>
      <c r="E68" s="102"/>
      <c r="F68" s="21"/>
      <c r="G68" s="21"/>
      <c r="H68" s="22">
        <f>H67/H52</f>
        <v>0.14262223571428564</v>
      </c>
      <c r="I68" s="22">
        <f>I67/I52</f>
        <v>0.43256259485714288</v>
      </c>
      <c r="J68" s="22">
        <f>J67/J52</f>
        <v>0.45630503037499998</v>
      </c>
      <c r="L68" s="17"/>
      <c r="M68" s="16"/>
      <c r="N68" s="16"/>
      <c r="O68" s="16"/>
      <c r="P68" s="16"/>
      <c r="Q68" s="16"/>
    </row>
    <row r="69" spans="2:17" x14ac:dyDescent="0.2">
      <c r="B69" s="79" t="s">
        <v>34</v>
      </c>
      <c r="C69" s="79"/>
      <c r="D69" s="79"/>
      <c r="E69" s="79"/>
      <c r="F69" s="4">
        <v>0.35</v>
      </c>
      <c r="G69" s="2"/>
      <c r="H69" s="11">
        <f>$F69*H$67</f>
        <v>139769.79099999991</v>
      </c>
      <c r="I69" s="11">
        <f>$F69*I$67</f>
        <v>423911.34295999998</v>
      </c>
      <c r="J69" s="11">
        <f>$F69*J$67</f>
        <v>447178.92976749991</v>
      </c>
    </row>
    <row r="70" spans="2:17" s="13" customFormat="1" ht="15.75" x14ac:dyDescent="0.25">
      <c r="B70" s="103" t="s">
        <v>35</v>
      </c>
      <c r="C70" s="103"/>
      <c r="D70" s="103"/>
      <c r="E70" s="103"/>
      <c r="F70" s="68"/>
      <c r="G70" s="68"/>
      <c r="H70" s="69">
        <f>H67-H69</f>
        <v>259572.46899999987</v>
      </c>
      <c r="I70" s="69">
        <f>I67-I69</f>
        <v>787263.92264</v>
      </c>
      <c r="J70" s="69">
        <f>J67-J69</f>
        <v>830475.15528249997</v>
      </c>
    </row>
    <row r="71" spans="2:17" ht="15" x14ac:dyDescent="0.25">
      <c r="B71" s="103" t="s">
        <v>36</v>
      </c>
      <c r="C71" s="103"/>
      <c r="D71" s="103"/>
      <c r="E71" s="103"/>
      <c r="F71" s="70"/>
      <c r="G71" s="70"/>
      <c r="H71" s="71">
        <f>H70/H52</f>
        <v>9.2704453214285665E-2</v>
      </c>
      <c r="I71" s="71">
        <f>I70/I52</f>
        <v>0.28116568665714287</v>
      </c>
      <c r="J71" s="71">
        <f>J70/J52</f>
        <v>0.29659826974374998</v>
      </c>
    </row>
    <row r="72" spans="2:17" ht="15" x14ac:dyDescent="0.25">
      <c r="B72" s="102" t="s">
        <v>37</v>
      </c>
      <c r="C72" s="102"/>
      <c r="D72" s="102"/>
      <c r="E72" s="102"/>
      <c r="F72" s="2"/>
      <c r="G72" s="2"/>
      <c r="H72" s="25"/>
      <c r="I72" s="25"/>
      <c r="J72" s="25"/>
    </row>
    <row r="73" spans="2:17" x14ac:dyDescent="0.2">
      <c r="B73" s="79" t="s">
        <v>38</v>
      </c>
      <c r="C73" s="79"/>
      <c r="D73" s="79"/>
      <c r="E73" s="79"/>
      <c r="F73" s="2"/>
      <c r="G73" s="2"/>
      <c r="H73" s="26">
        <f>H52-(H63+H53)</f>
        <v>455342.25999999978</v>
      </c>
      <c r="I73" s="26">
        <f>I52-(I63+I53)</f>
        <v>1267175.2656</v>
      </c>
      <c r="J73" s="26">
        <f>J52-(J63+J53)</f>
        <v>1333654.0850499999</v>
      </c>
    </row>
    <row r="74" spans="2:17" x14ac:dyDescent="0.2">
      <c r="B74" s="79" t="s">
        <v>39</v>
      </c>
      <c r="C74" s="79"/>
      <c r="D74" s="79"/>
      <c r="E74" s="79"/>
      <c r="F74" s="2"/>
      <c r="G74" s="2"/>
      <c r="H74" s="26">
        <v>10000000</v>
      </c>
      <c r="I74" s="26">
        <v>10000000</v>
      </c>
      <c r="J74" s="26">
        <v>10000000</v>
      </c>
      <c r="L74" s="18"/>
    </row>
    <row r="75" spans="2:17" x14ac:dyDescent="0.2">
      <c r="B75" s="79" t="s">
        <v>40</v>
      </c>
      <c r="C75" s="79"/>
      <c r="D75" s="79"/>
      <c r="E75" s="79"/>
      <c r="F75" s="2"/>
      <c r="G75" s="2"/>
      <c r="H75" s="2"/>
      <c r="I75" s="27"/>
      <c r="J75" s="27">
        <f>ROUNDUP(J74/J73,0)</f>
        <v>8</v>
      </c>
      <c r="L75" s="19"/>
    </row>
    <row r="76" spans="2:17" x14ac:dyDescent="0.2">
      <c r="B76" s="120"/>
      <c r="C76" s="120"/>
      <c r="D76" s="120"/>
      <c r="E76" s="120"/>
    </row>
    <row r="77" spans="2:17" ht="15.75" x14ac:dyDescent="0.25">
      <c r="B77" s="104" t="s">
        <v>98</v>
      </c>
      <c r="C77" s="104"/>
      <c r="D77" s="104"/>
      <c r="E77" s="104"/>
      <c r="F77" s="104"/>
      <c r="G77" s="104"/>
      <c r="H77" s="104"/>
      <c r="I77" s="104"/>
      <c r="J77" s="104"/>
      <c r="K77" s="104"/>
    </row>
    <row r="78" spans="2:17" ht="15" x14ac:dyDescent="0.25">
      <c r="B78" s="32" t="s">
        <v>41</v>
      </c>
      <c r="C78" s="21" t="s">
        <v>42</v>
      </c>
      <c r="D78" s="21" t="s">
        <v>43</v>
      </c>
      <c r="E78" s="21" t="s">
        <v>44</v>
      </c>
      <c r="F78" s="21" t="s">
        <v>45</v>
      </c>
      <c r="G78" s="21" t="s">
        <v>46</v>
      </c>
      <c r="H78" s="21" t="s">
        <v>47</v>
      </c>
      <c r="I78" s="21" t="s">
        <v>35</v>
      </c>
      <c r="J78" s="21" t="s">
        <v>48</v>
      </c>
      <c r="K78" s="21" t="s">
        <v>49</v>
      </c>
    </row>
    <row r="79" spans="2:17" ht="15" x14ac:dyDescent="0.25">
      <c r="B79" s="21">
        <v>30</v>
      </c>
      <c r="C79" s="11">
        <f>$I$52*B79</f>
        <v>84000000</v>
      </c>
      <c r="D79" s="11">
        <f>$I$53*B79</f>
        <v>23304742.031999998</v>
      </c>
      <c r="E79" s="11">
        <f>C79-D79</f>
        <v>60695257.968000002</v>
      </c>
      <c r="F79" s="11">
        <f>C79*SUM($F$56:$F$62)</f>
        <v>22680000</v>
      </c>
      <c r="G79" s="11">
        <f>E79-F79</f>
        <v>38015257.968000002</v>
      </c>
      <c r="H79" s="11">
        <f>G79-C79*$F$66</f>
        <v>36335257.968000002</v>
      </c>
      <c r="I79" s="11">
        <f>H79-H79*$F$69</f>
        <v>23617917.679200001</v>
      </c>
      <c r="J79" s="2">
        <v>10000000</v>
      </c>
      <c r="K79" s="33">
        <f>I79-J79</f>
        <v>13617917.679200001</v>
      </c>
    </row>
    <row r="80" spans="2:17" ht="15" x14ac:dyDescent="0.25">
      <c r="B80" s="21">
        <v>80</v>
      </c>
      <c r="C80" s="11">
        <f>$I$52*B80</f>
        <v>224000000</v>
      </c>
      <c r="D80" s="11">
        <f>$I$53*B80</f>
        <v>62145978.751999997</v>
      </c>
      <c r="E80" s="11">
        <f>C80-D80</f>
        <v>161854021.248</v>
      </c>
      <c r="F80" s="11">
        <f>C80*SUM($F$56:$F$62)</f>
        <v>60480000.000000007</v>
      </c>
      <c r="G80" s="11">
        <f>E80-F80</f>
        <v>101374021.248</v>
      </c>
      <c r="H80" s="11">
        <f>G80-C80*$F$66</f>
        <v>96894021.247999996</v>
      </c>
      <c r="I80" s="11">
        <f>H80-H80*$F$69</f>
        <v>62981113.8112</v>
      </c>
      <c r="J80" s="2">
        <v>10000000</v>
      </c>
      <c r="K80" s="33">
        <f>I80-J80</f>
        <v>52981113.8112</v>
      </c>
    </row>
    <row r="81" spans="2:11" ht="15" x14ac:dyDescent="0.25">
      <c r="B81" s="21">
        <v>100</v>
      </c>
      <c r="C81" s="11">
        <f>$I$52*B81</f>
        <v>280000000</v>
      </c>
      <c r="D81" s="11">
        <f>$I$53*B81</f>
        <v>77682473.439999998</v>
      </c>
      <c r="E81" s="11">
        <f>C81-D81</f>
        <v>202317526.56</v>
      </c>
      <c r="F81" s="11">
        <f>C81*SUM($F$56:$F$62)</f>
        <v>75600000</v>
      </c>
      <c r="G81" s="11">
        <f>E81-F81</f>
        <v>126717526.56</v>
      </c>
      <c r="H81" s="11">
        <f>G81-C81*$F$66</f>
        <v>121117526.56</v>
      </c>
      <c r="I81" s="11">
        <f>H81-H81*$F$69</f>
        <v>78726392.263999999</v>
      </c>
      <c r="J81" s="2">
        <v>10000000</v>
      </c>
      <c r="K81" s="33">
        <f>I81-J81</f>
        <v>68726392.263999999</v>
      </c>
    </row>
    <row r="82" spans="2:11" ht="15" x14ac:dyDescent="0.25">
      <c r="B82" s="21">
        <v>120</v>
      </c>
      <c r="C82" s="11">
        <f>$I$52*B82</f>
        <v>336000000</v>
      </c>
      <c r="D82" s="11">
        <f>$I$53*B82</f>
        <v>93218968.127999991</v>
      </c>
      <c r="E82" s="11">
        <f>C82-D82</f>
        <v>242781031.87200001</v>
      </c>
      <c r="F82" s="11">
        <f>C82*SUM($F$56:$F$62)</f>
        <v>90720000</v>
      </c>
      <c r="G82" s="11">
        <f>E82-F82</f>
        <v>152061031.87200001</v>
      </c>
      <c r="H82" s="11">
        <f>G82-C82*$F$66</f>
        <v>145341031.87200001</v>
      </c>
      <c r="I82" s="11">
        <f>H82-H82*$F$69</f>
        <v>94471670.716800004</v>
      </c>
      <c r="J82" s="2">
        <v>10000000</v>
      </c>
      <c r="K82" s="33">
        <f>I82-J82</f>
        <v>84471670.716800004</v>
      </c>
    </row>
    <row r="83" spans="2:11" ht="15" x14ac:dyDescent="0.25">
      <c r="B83" s="21">
        <v>150</v>
      </c>
      <c r="C83" s="11">
        <f>$I$52*B83</f>
        <v>420000000</v>
      </c>
      <c r="D83" s="11">
        <f>$I$53*B83</f>
        <v>116523710.16</v>
      </c>
      <c r="E83" s="11">
        <f>C83-D83</f>
        <v>303476289.84000003</v>
      </c>
      <c r="F83" s="11">
        <f>C83*SUM($F$56:$F$62)</f>
        <v>113400000.00000001</v>
      </c>
      <c r="G83" s="11">
        <f>E83-F83</f>
        <v>190076289.84000003</v>
      </c>
      <c r="H83" s="11">
        <f>G83-C83*$F$66</f>
        <v>181676289.84000003</v>
      </c>
      <c r="I83" s="11">
        <f>H83-H83*$F$69</f>
        <v>118089588.39600003</v>
      </c>
      <c r="J83" s="2">
        <v>10000000</v>
      </c>
      <c r="K83" s="33">
        <f>I83-J83</f>
        <v>108089588.39600003</v>
      </c>
    </row>
    <row r="85" spans="2:11" ht="15.75" x14ac:dyDescent="0.25">
      <c r="B85" s="104" t="s">
        <v>89</v>
      </c>
      <c r="C85" s="104"/>
      <c r="D85" s="104"/>
      <c r="E85" s="104"/>
      <c r="F85" s="104"/>
      <c r="G85" s="104"/>
      <c r="H85" s="104"/>
      <c r="I85" s="104"/>
      <c r="J85" s="104"/>
      <c r="K85" s="104"/>
    </row>
    <row r="86" spans="2:11" ht="15" x14ac:dyDescent="0.25">
      <c r="B86" s="32" t="s">
        <v>41</v>
      </c>
      <c r="C86" s="21" t="s">
        <v>42</v>
      </c>
      <c r="D86" s="21" t="s">
        <v>43</v>
      </c>
      <c r="E86" s="21" t="s">
        <v>44</v>
      </c>
      <c r="F86" s="21" t="s">
        <v>45</v>
      </c>
      <c r="G86" s="21" t="s">
        <v>46</v>
      </c>
      <c r="H86" s="21" t="s">
        <v>47</v>
      </c>
      <c r="I86" s="21" t="s">
        <v>35</v>
      </c>
      <c r="J86" s="21" t="s">
        <v>48</v>
      </c>
      <c r="K86" s="21" t="s">
        <v>49</v>
      </c>
    </row>
    <row r="87" spans="2:11" ht="15" x14ac:dyDescent="0.25">
      <c r="B87" s="21">
        <v>30</v>
      </c>
      <c r="C87" s="11">
        <f>$I$52*B87</f>
        <v>84000000</v>
      </c>
      <c r="D87" s="11">
        <f>$J$53*B87</f>
        <v>21310377.4485</v>
      </c>
      <c r="E87" s="11">
        <f>C87-D87</f>
        <v>62689622.5515</v>
      </c>
      <c r="F87" s="11">
        <f>C87*SUM($F$56:$F$62)</f>
        <v>22680000</v>
      </c>
      <c r="G87" s="11">
        <f>E87-F87</f>
        <v>40009622.5515</v>
      </c>
      <c r="H87" s="11">
        <f>G87-C87*$F$66</f>
        <v>38329622.5515</v>
      </c>
      <c r="I87" s="11">
        <f>H87-H87*$F$69</f>
        <v>24914254.658475</v>
      </c>
      <c r="J87" s="2">
        <v>10000000</v>
      </c>
      <c r="K87" s="33">
        <f>I87-J87</f>
        <v>14914254.658475</v>
      </c>
    </row>
    <row r="88" spans="2:11" ht="15" x14ac:dyDescent="0.25">
      <c r="B88" s="21">
        <v>80</v>
      </c>
      <c r="C88" s="11">
        <f>$I$52*B88</f>
        <v>224000000</v>
      </c>
      <c r="D88" s="11">
        <f>$J$53*B88</f>
        <v>56827673.196000002</v>
      </c>
      <c r="E88" s="11">
        <f>C88-D88</f>
        <v>167172326.80399999</v>
      </c>
      <c r="F88" s="11">
        <f>C88*SUM($F$56:$F$62)</f>
        <v>60480000.000000007</v>
      </c>
      <c r="G88" s="11">
        <f>E88-F88</f>
        <v>106692326.80399999</v>
      </c>
      <c r="H88" s="11">
        <f>G88-C88*$F$66</f>
        <v>102212326.80399999</v>
      </c>
      <c r="I88" s="11">
        <f>H88-H88*$F$69</f>
        <v>66438012.422599994</v>
      </c>
      <c r="J88" s="2">
        <v>10000000</v>
      </c>
      <c r="K88" s="33">
        <f>I88-J88</f>
        <v>56438012.422599994</v>
      </c>
    </row>
    <row r="89" spans="2:11" ht="15" x14ac:dyDescent="0.25">
      <c r="B89" s="21">
        <v>100</v>
      </c>
      <c r="C89" s="11">
        <f>$I$52*B89</f>
        <v>280000000</v>
      </c>
      <c r="D89" s="11">
        <f>$J$53*B89</f>
        <v>71034591.495000005</v>
      </c>
      <c r="E89" s="11">
        <f>C89-D89</f>
        <v>208965408.505</v>
      </c>
      <c r="F89" s="11">
        <f>C89*SUM($F$56:$F$62)</f>
        <v>75600000</v>
      </c>
      <c r="G89" s="11">
        <f>E89-F89</f>
        <v>133365408.505</v>
      </c>
      <c r="H89" s="11">
        <f>G89-C89*$F$66</f>
        <v>127765408.505</v>
      </c>
      <c r="I89" s="11">
        <f>H89-H89*$F$69</f>
        <v>83047515.528250009</v>
      </c>
      <c r="J89" s="2">
        <v>10000000</v>
      </c>
      <c r="K89" s="33">
        <f>I89-J89</f>
        <v>73047515.528250009</v>
      </c>
    </row>
    <row r="90" spans="2:11" ht="15" x14ac:dyDescent="0.25">
      <c r="B90" s="21">
        <v>120</v>
      </c>
      <c r="C90" s="11">
        <f>$I$52*B90</f>
        <v>336000000</v>
      </c>
      <c r="D90" s="11">
        <f>$J$53*B90</f>
        <v>85241509.794</v>
      </c>
      <c r="E90" s="11">
        <f>C90-D90</f>
        <v>250758490.206</v>
      </c>
      <c r="F90" s="11">
        <f>C90*SUM($F$56:$F$62)</f>
        <v>90720000</v>
      </c>
      <c r="G90" s="11">
        <f>E90-F90</f>
        <v>160038490.206</v>
      </c>
      <c r="H90" s="11">
        <f>G90-C90*$F$66</f>
        <v>153318490.206</v>
      </c>
      <c r="I90" s="11">
        <f>H90-H90*$F$69</f>
        <v>99657018.633900002</v>
      </c>
      <c r="J90" s="2">
        <v>10000000</v>
      </c>
      <c r="K90" s="33">
        <f>I90-J90</f>
        <v>89657018.633900002</v>
      </c>
    </row>
    <row r="91" spans="2:11" ht="15" x14ac:dyDescent="0.25">
      <c r="B91" s="21">
        <v>150</v>
      </c>
      <c r="C91" s="11">
        <f>$I$52*B91</f>
        <v>420000000</v>
      </c>
      <c r="D91" s="11">
        <f>$J$53*B91</f>
        <v>106551887.24250001</v>
      </c>
      <c r="E91" s="11">
        <f>C91-D91</f>
        <v>313448112.75749999</v>
      </c>
      <c r="F91" s="11">
        <f>C91*SUM($F$56:$F$62)</f>
        <v>113400000.00000001</v>
      </c>
      <c r="G91" s="11">
        <f>E91-F91</f>
        <v>200048112.75749999</v>
      </c>
      <c r="H91" s="11">
        <f>G91-C91*$F$66</f>
        <v>191648112.75749999</v>
      </c>
      <c r="I91" s="11">
        <f>H91-H91*$F$69</f>
        <v>124571273.292375</v>
      </c>
      <c r="J91" s="2">
        <v>10000000</v>
      </c>
      <c r="K91" s="33">
        <f>I91-J91</f>
        <v>114571273.292375</v>
      </c>
    </row>
    <row r="93" spans="2:11" ht="15" customHeight="1" x14ac:dyDescent="0.2">
      <c r="B93" s="77" t="s">
        <v>50</v>
      </c>
      <c r="C93" s="77"/>
      <c r="D93" s="77"/>
      <c r="E93" s="77"/>
    </row>
    <row r="95" spans="2:11" x14ac:dyDescent="0.2">
      <c r="B95" s="79" t="s">
        <v>88</v>
      </c>
      <c r="C95" s="79"/>
      <c r="D95" s="79"/>
      <c r="E95" s="79"/>
      <c r="F95" s="2"/>
      <c r="G95" s="2"/>
      <c r="H95" s="28">
        <f>I41</f>
        <v>776824.73439999996</v>
      </c>
      <c r="I95" s="28">
        <f>J41</f>
        <v>710345.91495000001</v>
      </c>
    </row>
    <row r="96" spans="2:11" x14ac:dyDescent="0.2">
      <c r="B96" s="77"/>
      <c r="C96" s="77"/>
      <c r="D96" s="77"/>
      <c r="E96" s="77"/>
    </row>
    <row r="97" spans="2:9" x14ac:dyDescent="0.2">
      <c r="B97" s="79" t="s">
        <v>51</v>
      </c>
      <c r="C97" s="79"/>
      <c r="D97" s="79"/>
      <c r="E97" s="79"/>
      <c r="F97" s="2"/>
      <c r="G97" s="2"/>
      <c r="H97" s="4">
        <v>0.27</v>
      </c>
      <c r="I97" s="4">
        <v>0.27</v>
      </c>
    </row>
    <row r="98" spans="2:9" x14ac:dyDescent="0.2">
      <c r="B98" s="79" t="s">
        <v>52</v>
      </c>
      <c r="C98" s="79"/>
      <c r="D98" s="79"/>
      <c r="E98" s="79"/>
      <c r="F98" s="2"/>
      <c r="G98" s="2"/>
      <c r="H98" s="2"/>
      <c r="I98" s="2"/>
    </row>
    <row r="99" spans="2:9" x14ac:dyDescent="0.2">
      <c r="B99" s="79" t="s">
        <v>53</v>
      </c>
      <c r="C99" s="79"/>
      <c r="D99" s="79"/>
      <c r="E99" s="79"/>
      <c r="F99" s="2"/>
      <c r="G99" s="2"/>
      <c r="H99" s="4">
        <v>0.02</v>
      </c>
      <c r="I99" s="4">
        <v>0.02</v>
      </c>
    </row>
    <row r="100" spans="2:9" x14ac:dyDescent="0.2">
      <c r="B100" s="79" t="s">
        <v>54</v>
      </c>
      <c r="C100" s="79"/>
      <c r="D100" s="79"/>
      <c r="E100" s="79"/>
      <c r="F100" s="2"/>
      <c r="G100" s="2"/>
      <c r="H100" s="4">
        <v>0.35</v>
      </c>
      <c r="I100" s="4">
        <v>0.35</v>
      </c>
    </row>
    <row r="101" spans="2:9" x14ac:dyDescent="0.2">
      <c r="B101" s="79" t="s">
        <v>55</v>
      </c>
      <c r="C101" s="79"/>
      <c r="D101" s="79"/>
      <c r="E101" s="79"/>
      <c r="F101" s="2"/>
      <c r="G101" s="2"/>
      <c r="H101" s="2">
        <v>10000000</v>
      </c>
      <c r="I101" s="2">
        <v>10000000</v>
      </c>
    </row>
    <row r="102" spans="2:9" x14ac:dyDescent="0.2">
      <c r="B102" s="79" t="s">
        <v>56</v>
      </c>
      <c r="C102" s="79"/>
      <c r="D102" s="79"/>
      <c r="E102" s="79"/>
      <c r="F102" s="2"/>
      <c r="G102" s="2"/>
      <c r="H102" s="2">
        <v>50</v>
      </c>
      <c r="I102" s="2">
        <v>50</v>
      </c>
    </row>
    <row r="103" spans="2:9" x14ac:dyDescent="0.2">
      <c r="B103" s="79" t="s">
        <v>57</v>
      </c>
      <c r="C103" s="79"/>
      <c r="D103" s="79"/>
      <c r="E103" s="79"/>
      <c r="F103" s="2"/>
      <c r="G103" s="2"/>
      <c r="H103" s="2">
        <f>H101/H102</f>
        <v>200000</v>
      </c>
      <c r="I103" s="2">
        <f>I101/I102</f>
        <v>200000</v>
      </c>
    </row>
    <row r="104" spans="2:9" x14ac:dyDescent="0.2">
      <c r="B104" s="79" t="s">
        <v>58</v>
      </c>
      <c r="C104" s="79"/>
      <c r="D104" s="79"/>
      <c r="E104" s="79"/>
      <c r="F104" s="2"/>
      <c r="G104" s="2"/>
      <c r="H104" s="4">
        <v>0.15</v>
      </c>
      <c r="I104" s="4">
        <v>0.15</v>
      </c>
    </row>
    <row r="105" spans="2:9" x14ac:dyDescent="0.2">
      <c r="B105" s="79" t="s">
        <v>59</v>
      </c>
      <c r="C105" s="79"/>
      <c r="D105" s="79"/>
      <c r="E105" s="79"/>
      <c r="F105" s="2"/>
      <c r="G105" s="2"/>
      <c r="H105" s="3">
        <v>500000</v>
      </c>
      <c r="I105" s="3">
        <v>500000</v>
      </c>
    </row>
    <row r="106" spans="2:9" x14ac:dyDescent="0.2">
      <c r="B106" s="77"/>
      <c r="C106" s="77"/>
      <c r="D106" s="77"/>
      <c r="E106" s="77"/>
    </row>
    <row r="107" spans="2:9" x14ac:dyDescent="0.2">
      <c r="B107" s="77" t="s">
        <v>60</v>
      </c>
      <c r="C107" s="77"/>
      <c r="D107" s="77"/>
      <c r="E107" s="77"/>
    </row>
    <row r="108" spans="2:9" x14ac:dyDescent="0.2">
      <c r="B108" s="77"/>
      <c r="C108" s="77"/>
      <c r="D108" s="77"/>
      <c r="E108" s="77"/>
    </row>
    <row r="109" spans="2:9" x14ac:dyDescent="0.2">
      <c r="B109" s="77" t="s">
        <v>61</v>
      </c>
      <c r="C109" s="77"/>
      <c r="D109" s="77"/>
      <c r="E109" s="77"/>
    </row>
    <row r="110" spans="2:9" x14ac:dyDescent="0.2">
      <c r="B110" s="77"/>
      <c r="C110" s="77"/>
      <c r="D110" s="77"/>
      <c r="E110" s="77"/>
    </row>
    <row r="111" spans="2:9" x14ac:dyDescent="0.2">
      <c r="B111" s="77" t="s">
        <v>62</v>
      </c>
      <c r="C111" s="77"/>
      <c r="D111" s="77"/>
      <c r="E111" s="77"/>
    </row>
    <row r="112" spans="2:9" x14ac:dyDescent="0.2">
      <c r="B112" s="77"/>
      <c r="C112" s="77"/>
      <c r="D112" s="77"/>
      <c r="E112" s="77"/>
    </row>
    <row r="113" spans="2:9" x14ac:dyDescent="0.2">
      <c r="B113" s="79" t="s">
        <v>63</v>
      </c>
      <c r="C113" s="79"/>
      <c r="D113" s="79"/>
      <c r="E113" s="79"/>
      <c r="F113" s="2"/>
      <c r="G113" s="2" t="s">
        <v>64</v>
      </c>
      <c r="H113" s="29">
        <f>((1-H100)*(H95+H103))/((1-H100)*(1-H97-H99)-H104)</f>
        <v>2038318.0653611557</v>
      </c>
      <c r="I113" s="29">
        <f>((1-I100)*(I95+I103))/((1-I100)*(1-I97-I99)-I104)</f>
        <v>1899598.2173916535</v>
      </c>
    </row>
    <row r="114" spans="2:9" x14ac:dyDescent="0.2">
      <c r="B114" s="77"/>
      <c r="C114" s="77"/>
      <c r="D114" s="77"/>
      <c r="E114" s="77"/>
    </row>
    <row r="115" spans="2:9" x14ac:dyDescent="0.2">
      <c r="B115" s="77" t="s">
        <v>65</v>
      </c>
      <c r="C115" s="77"/>
      <c r="D115" s="77"/>
      <c r="E115" s="77"/>
    </row>
    <row r="116" spans="2:9" x14ac:dyDescent="0.2">
      <c r="B116" s="77"/>
      <c r="C116" s="77"/>
      <c r="D116" s="77"/>
      <c r="E116" s="77"/>
    </row>
    <row r="117" spans="2:9" x14ac:dyDescent="0.2">
      <c r="B117" s="79" t="s">
        <v>66</v>
      </c>
      <c r="C117" s="79"/>
      <c r="D117" s="79"/>
      <c r="E117" s="79"/>
      <c r="F117" s="2"/>
      <c r="G117" s="2" t="s">
        <v>67</v>
      </c>
      <c r="H117" s="29">
        <f>((H105/(1-H100))+H95+H103)/(1-H97-H99)</f>
        <v>2459233.1037053089</v>
      </c>
      <c r="I117" s="29">
        <f>((I105/(1-I100))+I95+I103)/(1-I97-I99)</f>
        <v>2365600.9636348863</v>
      </c>
    </row>
    <row r="118" spans="2:9" x14ac:dyDescent="0.2">
      <c r="B118" s="77"/>
      <c r="C118" s="77"/>
      <c r="D118" s="77"/>
      <c r="E118" s="77"/>
    </row>
    <row r="119" spans="2:9" x14ac:dyDescent="0.2">
      <c r="B119" s="77" t="s">
        <v>68</v>
      </c>
      <c r="C119" s="77"/>
      <c r="D119" s="77"/>
      <c r="E119" s="77"/>
    </row>
    <row r="120" spans="2:9" x14ac:dyDescent="0.2">
      <c r="B120" s="77"/>
      <c r="C120" s="77"/>
      <c r="D120" s="77"/>
      <c r="E120" s="77"/>
    </row>
    <row r="121" spans="2:9" x14ac:dyDescent="0.2">
      <c r="B121" s="79" t="s">
        <v>69</v>
      </c>
      <c r="C121" s="79"/>
      <c r="D121" s="79"/>
      <c r="E121" s="79"/>
      <c r="F121" s="2"/>
      <c r="G121" s="2" t="s">
        <v>70</v>
      </c>
      <c r="H121" s="29">
        <f>(H95+H103)/(1-H97-H99)</f>
        <v>1375809.4850704225</v>
      </c>
      <c r="I121" s="29">
        <f>(I95+I103)/(1-I97-I99)</f>
        <v>1282177.345</v>
      </c>
    </row>
    <row r="122" spans="2:9" x14ac:dyDescent="0.2">
      <c r="B122" s="77"/>
      <c r="C122" s="77"/>
      <c r="D122" s="77"/>
      <c r="E122" s="77"/>
    </row>
    <row r="123" spans="2:9" x14ac:dyDescent="0.2">
      <c r="B123" s="77" t="s">
        <v>71</v>
      </c>
      <c r="C123" s="77"/>
      <c r="D123" s="77"/>
      <c r="E123" s="77"/>
    </row>
    <row r="124" spans="2:9" x14ac:dyDescent="0.2">
      <c r="B124" s="77"/>
      <c r="C124" s="77"/>
      <c r="D124" s="77"/>
      <c r="E124" s="77"/>
    </row>
    <row r="125" spans="2:9" x14ac:dyDescent="0.2">
      <c r="B125" s="77" t="s">
        <v>72</v>
      </c>
      <c r="C125" s="77"/>
      <c r="D125" s="77"/>
      <c r="E125" s="77"/>
    </row>
    <row r="126" spans="2:9" x14ac:dyDescent="0.2">
      <c r="B126" s="77"/>
      <c r="C126" s="77"/>
      <c r="D126" s="77"/>
      <c r="E126" s="77"/>
    </row>
    <row r="127" spans="2:9" x14ac:dyDescent="0.2">
      <c r="B127" s="79" t="s">
        <v>73</v>
      </c>
      <c r="C127" s="79"/>
      <c r="D127" s="79"/>
      <c r="E127" s="79"/>
      <c r="F127" s="2" t="s">
        <v>74</v>
      </c>
      <c r="G127" s="2" t="s">
        <v>64</v>
      </c>
      <c r="H127" s="29">
        <f>(H113*(1-H97-H99)-(H95+H103))*(1-H100)</f>
        <v>305747.70980417333</v>
      </c>
      <c r="I127" s="29">
        <f>(I113*(1-I97-I99)-(I95+I103))*(1-I100)</f>
        <v>284939.73260874802</v>
      </c>
    </row>
    <row r="128" spans="2:9" x14ac:dyDescent="0.2">
      <c r="B128" s="79"/>
      <c r="C128" s="79"/>
      <c r="D128" s="79"/>
      <c r="E128" s="79"/>
      <c r="F128" s="2"/>
      <c r="G128" s="2" t="s">
        <v>67</v>
      </c>
      <c r="H128" s="34">
        <f>(H117*(1-H97-H99)-(H95+H103))*(1-H100)</f>
        <v>500000</v>
      </c>
      <c r="I128" s="34">
        <f>(I117*(1-I97-I99)-(I95+I103))*(1-I100)</f>
        <v>499999.99999999994</v>
      </c>
    </row>
    <row r="129" spans="2:10" x14ac:dyDescent="0.2">
      <c r="B129" s="79"/>
      <c r="C129" s="79"/>
      <c r="D129" s="79"/>
      <c r="E129" s="79"/>
      <c r="F129" s="2"/>
      <c r="G129" s="2" t="s">
        <v>70</v>
      </c>
      <c r="H129" s="29">
        <f>(H121*(1-H97-H99)-(H95+H103))*(1-H100)</f>
        <v>0</v>
      </c>
      <c r="I129" s="29">
        <f>(I121*(1-I97-I99)-(I95+I103))*(1-I100)</f>
        <v>-7.5669959187507632E-11</v>
      </c>
    </row>
    <row r="130" spans="2:10" x14ac:dyDescent="0.2">
      <c r="B130" s="77"/>
      <c r="C130" s="77"/>
      <c r="D130" s="77"/>
      <c r="E130" s="77"/>
    </row>
    <row r="131" spans="2:10" x14ac:dyDescent="0.2">
      <c r="B131" s="77" t="s">
        <v>75</v>
      </c>
      <c r="C131" s="77"/>
      <c r="D131" s="77"/>
      <c r="E131" s="77"/>
    </row>
    <row r="132" spans="2:10" x14ac:dyDescent="0.2">
      <c r="B132" s="77"/>
      <c r="C132" s="77"/>
      <c r="D132" s="77"/>
      <c r="E132" s="77"/>
    </row>
    <row r="133" spans="2:10" x14ac:dyDescent="0.2">
      <c r="B133" s="107" t="s">
        <v>76</v>
      </c>
      <c r="C133" s="108"/>
      <c r="D133" s="109"/>
      <c r="E133" s="2" t="s">
        <v>77</v>
      </c>
      <c r="F133" s="4">
        <v>0.2</v>
      </c>
      <c r="G133" s="2" t="s">
        <v>78</v>
      </c>
      <c r="H133" s="29">
        <f>H113/(1-$F$133)</f>
        <v>2547897.5817014445</v>
      </c>
      <c r="I133" s="29">
        <f>I113/(1-$F$133)</f>
        <v>2374497.7717395667</v>
      </c>
    </row>
    <row r="134" spans="2:10" x14ac:dyDescent="0.2">
      <c r="B134" s="2"/>
      <c r="C134" s="2"/>
      <c r="D134" s="2"/>
      <c r="E134" s="2"/>
      <c r="F134" s="2"/>
      <c r="G134" s="2" t="s">
        <v>79</v>
      </c>
      <c r="H134" s="29">
        <f>H117/(1-$F$133)</f>
        <v>3074041.3796316357</v>
      </c>
      <c r="I134" s="29">
        <f>I117/(1-$F$133)</f>
        <v>2957001.2045436078</v>
      </c>
    </row>
    <row r="135" spans="2:10" x14ac:dyDescent="0.2">
      <c r="B135" s="2"/>
      <c r="C135" s="2"/>
      <c r="D135" s="2"/>
      <c r="E135" s="2"/>
      <c r="F135" s="2"/>
      <c r="G135" s="2" t="s">
        <v>80</v>
      </c>
      <c r="H135" s="29">
        <f>H121/(1-$F$133)</f>
        <v>1719761.8563380281</v>
      </c>
      <c r="I135" s="29">
        <f>I121/(1-$F$133)</f>
        <v>1602721.6812499999</v>
      </c>
    </row>
    <row r="136" spans="2:10" x14ac:dyDescent="0.2">
      <c r="H136" s="31"/>
      <c r="I136" s="31"/>
    </row>
    <row r="137" spans="2:10" x14ac:dyDescent="0.2">
      <c r="B137" s="77" t="s">
        <v>81</v>
      </c>
      <c r="C137" s="77"/>
      <c r="D137" s="77"/>
      <c r="E137" s="77"/>
      <c r="J137" s="31"/>
    </row>
    <row r="138" spans="2:10" x14ac:dyDescent="0.2">
      <c r="B138" s="77"/>
      <c r="C138" s="77"/>
      <c r="D138" s="77"/>
      <c r="E138" s="77"/>
    </row>
    <row r="139" spans="2:10" x14ac:dyDescent="0.2">
      <c r="F139" s="30"/>
      <c r="G139" s="30"/>
      <c r="H139" s="30"/>
      <c r="I139" s="30"/>
    </row>
    <row r="140" spans="2:10" x14ac:dyDescent="0.2">
      <c r="B140" s="79" t="s">
        <v>82</v>
      </c>
      <c r="C140" s="79"/>
      <c r="D140" s="79"/>
      <c r="E140" s="2" t="s">
        <v>5</v>
      </c>
      <c r="F140" s="4">
        <v>0.19</v>
      </c>
      <c r="G140" s="2" t="s">
        <v>83</v>
      </c>
      <c r="H140" s="29">
        <f t="shared" ref="H140:I142" si="4">H133*(1+$F$140)</f>
        <v>3031998.1222247188</v>
      </c>
      <c r="I140" s="29">
        <f t="shared" si="4"/>
        <v>2825652.3483700841</v>
      </c>
    </row>
    <row r="141" spans="2:10" x14ac:dyDescent="0.2">
      <c r="F141" s="2"/>
      <c r="G141" s="2" t="s">
        <v>84</v>
      </c>
      <c r="H141" s="29">
        <f t="shared" si="4"/>
        <v>3658109.2417616462</v>
      </c>
      <c r="I141" s="29">
        <f t="shared" si="4"/>
        <v>3518831.4334068932</v>
      </c>
    </row>
    <row r="142" spans="2:10" x14ac:dyDescent="0.2">
      <c r="F142" s="2"/>
      <c r="G142" s="2" t="s">
        <v>85</v>
      </c>
      <c r="H142" s="29">
        <f t="shared" si="4"/>
        <v>2046516.6090422533</v>
      </c>
      <c r="I142" s="29">
        <f t="shared" si="4"/>
        <v>1907238.8006874998</v>
      </c>
    </row>
  </sheetData>
  <mergeCells count="88">
    <mergeCell ref="B137:E137"/>
    <mergeCell ref="B138:E138"/>
    <mergeCell ref="B140:D140"/>
    <mergeCell ref="B128:E128"/>
    <mergeCell ref="B129:E129"/>
    <mergeCell ref="B130:E130"/>
    <mergeCell ref="B131:E131"/>
    <mergeCell ref="B132:E132"/>
    <mergeCell ref="B133:D133"/>
    <mergeCell ref="B127:E127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15:E115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03:E103"/>
    <mergeCell ref="B77:K77"/>
    <mergeCell ref="B85:K85"/>
    <mergeCell ref="B93:E93"/>
    <mergeCell ref="B95:E95"/>
    <mergeCell ref="B96:E96"/>
    <mergeCell ref="B97:E97"/>
    <mergeCell ref="B98:E98"/>
    <mergeCell ref="B99:E99"/>
    <mergeCell ref="B100:E100"/>
    <mergeCell ref="B101:E101"/>
    <mergeCell ref="B102:E102"/>
    <mergeCell ref="B76:E76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64:E64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52:E52"/>
    <mergeCell ref="B19:E24"/>
    <mergeCell ref="F23:F24"/>
    <mergeCell ref="B25:E30"/>
    <mergeCell ref="F29:F30"/>
    <mergeCell ref="B31:F32"/>
    <mergeCell ref="B33:D37"/>
    <mergeCell ref="E36:F37"/>
    <mergeCell ref="B38:F39"/>
    <mergeCell ref="B41:F42"/>
    <mergeCell ref="B44:F45"/>
    <mergeCell ref="B46:F47"/>
    <mergeCell ref="B49:F50"/>
    <mergeCell ref="H2:P2"/>
    <mergeCell ref="H4:J4"/>
    <mergeCell ref="B6:E11"/>
    <mergeCell ref="F10:F11"/>
    <mergeCell ref="B12:E18"/>
    <mergeCell ref="F17:F18"/>
  </mergeCells>
  <pageMargins left="0.7" right="0.7" top="0.75" bottom="0.75" header="0.3" footer="0.3"/>
  <pageSetup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6DC0-F022-4C25-91B3-EB84DD39DB1D}">
  <dimension ref="B2:M142"/>
  <sheetViews>
    <sheetView tabSelected="1" zoomScaleNormal="100" workbookViewId="0">
      <selection activeCell="C3" sqref="C3"/>
    </sheetView>
  </sheetViews>
  <sheetFormatPr defaultColWidth="9.140625" defaultRowHeight="14.25" x14ac:dyDescent="0.2"/>
  <cols>
    <col min="1" max="1" width="9.140625" style="1"/>
    <col min="2" max="2" width="15.7109375" style="1" bestFit="1" customWidth="1"/>
    <col min="3" max="3" width="17" style="1" bestFit="1" customWidth="1"/>
    <col min="4" max="4" width="15.7109375" style="1" bestFit="1" customWidth="1"/>
    <col min="5" max="5" width="18.85546875" style="1" bestFit="1" customWidth="1"/>
    <col min="6" max="6" width="15.42578125" style="1" bestFit="1" customWidth="1"/>
    <col min="7" max="7" width="20.7109375" style="1" bestFit="1" customWidth="1"/>
    <col min="8" max="8" width="31.28515625" style="1" bestFit="1" customWidth="1"/>
    <col min="9" max="9" width="29.42578125" style="1" bestFit="1" customWidth="1"/>
    <col min="10" max="11" width="25.140625" style="1" bestFit="1" customWidth="1"/>
    <col min="12" max="12" width="14.7109375" style="1" bestFit="1" customWidth="1"/>
    <col min="13" max="13" width="12.85546875" style="1" bestFit="1" customWidth="1"/>
    <col min="14" max="14" width="15.140625" style="1" bestFit="1" customWidth="1"/>
    <col min="15" max="15" width="19.5703125" style="1" bestFit="1" customWidth="1"/>
    <col min="16" max="16" width="22" style="1" bestFit="1" customWidth="1"/>
    <col min="17" max="18" width="19.5703125" style="1" bestFit="1" customWidth="1"/>
    <col min="19" max="19" width="22" style="1" bestFit="1" customWidth="1"/>
    <col min="20" max="16384" width="9.140625" style="1"/>
  </cols>
  <sheetData>
    <row r="2" spans="2:11" ht="15.75" x14ac:dyDescent="0.25">
      <c r="B2" s="21" t="s">
        <v>0</v>
      </c>
      <c r="C2" s="5">
        <v>4000</v>
      </c>
      <c r="H2" s="78"/>
      <c r="I2" s="78"/>
      <c r="J2" s="78"/>
      <c r="K2" s="78"/>
    </row>
    <row r="3" spans="2:11" ht="18" x14ac:dyDescent="0.25">
      <c r="E3" s="9"/>
      <c r="F3" s="9"/>
      <c r="G3" s="9"/>
    </row>
    <row r="4" spans="2:11" ht="15.75" x14ac:dyDescent="0.2">
      <c r="H4" s="80"/>
      <c r="I4" s="81"/>
      <c r="J4" s="82"/>
    </row>
    <row r="5" spans="2:11" ht="15.75" x14ac:dyDescent="0.2">
      <c r="H5" s="20">
        <v>1</v>
      </c>
      <c r="I5" s="20">
        <v>25</v>
      </c>
      <c r="J5" s="20">
        <v>50</v>
      </c>
      <c r="K5" s="20">
        <v>100</v>
      </c>
    </row>
    <row r="6" spans="2:11" ht="14.25" customHeight="1" x14ac:dyDescent="0.2">
      <c r="B6" s="90" t="s">
        <v>1</v>
      </c>
      <c r="C6" s="91"/>
      <c r="D6" s="91"/>
      <c r="E6" s="92"/>
      <c r="F6" s="2" t="s">
        <v>2</v>
      </c>
      <c r="G6" s="2"/>
      <c r="H6" s="3">
        <v>300</v>
      </c>
      <c r="I6" s="3">
        <v>7000</v>
      </c>
      <c r="J6" s="3">
        <v>12950</v>
      </c>
      <c r="K6" s="3">
        <v>25000</v>
      </c>
    </row>
    <row r="7" spans="2:11" ht="14.25" customHeight="1" x14ac:dyDescent="0.2">
      <c r="B7" s="93"/>
      <c r="C7" s="94"/>
      <c r="D7" s="94"/>
      <c r="E7" s="95"/>
      <c r="F7" s="2" t="s">
        <v>3</v>
      </c>
      <c r="G7" s="3">
        <v>100</v>
      </c>
      <c r="H7" s="3">
        <v>10</v>
      </c>
      <c r="I7" s="3">
        <v>100</v>
      </c>
      <c r="J7" s="3">
        <v>100</v>
      </c>
      <c r="K7" s="3">
        <v>100</v>
      </c>
    </row>
    <row r="8" spans="2:11" ht="14.25" customHeight="1" x14ac:dyDescent="0.2">
      <c r="B8" s="93"/>
      <c r="C8" s="94"/>
      <c r="D8" s="94"/>
      <c r="E8" s="95"/>
      <c r="F8" s="48" t="s">
        <v>4</v>
      </c>
      <c r="G8" s="49">
        <v>0.1</v>
      </c>
      <c r="H8" s="50">
        <f>SUM(H6:H7)*$G$8</f>
        <v>31</v>
      </c>
      <c r="I8" s="50">
        <f>SUM(I6:I7)*$G$8</f>
        <v>710</v>
      </c>
      <c r="J8" s="50">
        <f>SUM(J6:J7)*$G$8</f>
        <v>1305</v>
      </c>
      <c r="K8" s="50">
        <f>SUM(K6:K7)*$G$8</f>
        <v>2510</v>
      </c>
    </row>
    <row r="9" spans="2:11" ht="14.25" customHeight="1" x14ac:dyDescent="0.2">
      <c r="B9" s="93"/>
      <c r="C9" s="94"/>
      <c r="D9" s="94"/>
      <c r="E9" s="95"/>
      <c r="F9" s="45" t="s">
        <v>5</v>
      </c>
      <c r="G9" s="46">
        <v>0.19</v>
      </c>
      <c r="H9" s="47">
        <f>SUM(H6:H8)*$G$9</f>
        <v>64.790000000000006</v>
      </c>
      <c r="I9" s="47">
        <f>SUM(I6:I8)*$G$9</f>
        <v>1483.9</v>
      </c>
      <c r="J9" s="47">
        <f>SUM(J6:J8)*$G$9</f>
        <v>2727.45</v>
      </c>
      <c r="K9" s="47">
        <f>SUM(K6:K8)*$G$9</f>
        <v>5245.9</v>
      </c>
    </row>
    <row r="10" spans="2:11" ht="15" customHeight="1" x14ac:dyDescent="0.25">
      <c r="B10" s="93"/>
      <c r="C10" s="94"/>
      <c r="D10" s="94"/>
      <c r="E10" s="95"/>
      <c r="F10" s="75" t="s">
        <v>6</v>
      </c>
      <c r="G10" s="21" t="s">
        <v>94</v>
      </c>
      <c r="H10" s="5">
        <v>350</v>
      </c>
      <c r="I10" s="5">
        <v>350</v>
      </c>
      <c r="J10" s="5">
        <f>SUM(J6:J9)</f>
        <v>17082.45</v>
      </c>
      <c r="K10" s="5">
        <f>SUM(K6:K9)</f>
        <v>32855.9</v>
      </c>
    </row>
    <row r="11" spans="2:11" ht="15" customHeight="1" thickBot="1" x14ac:dyDescent="0.25">
      <c r="B11" s="96"/>
      <c r="C11" s="97"/>
      <c r="D11" s="97"/>
      <c r="E11" s="98"/>
      <c r="F11" s="76"/>
      <c r="G11" s="55" t="s">
        <v>95</v>
      </c>
      <c r="H11" s="56">
        <f>H10/H5</f>
        <v>350</v>
      </c>
      <c r="I11" s="56">
        <f>I10/I5</f>
        <v>14</v>
      </c>
      <c r="J11" s="56">
        <f>J10/J5</f>
        <v>341.649</v>
      </c>
      <c r="K11" s="56">
        <f>K10/K5</f>
        <v>328.55900000000003</v>
      </c>
    </row>
    <row r="12" spans="2:11" ht="14.25" customHeight="1" thickTop="1" x14ac:dyDescent="0.2">
      <c r="B12" s="99" t="s">
        <v>7</v>
      </c>
      <c r="C12" s="100"/>
      <c r="D12" s="100"/>
      <c r="E12" s="101"/>
      <c r="F12" s="57" t="s">
        <v>8</v>
      </c>
      <c r="G12" s="57"/>
      <c r="H12" s="58">
        <v>135.29</v>
      </c>
      <c r="I12" s="58">
        <v>232.6</v>
      </c>
      <c r="J12" s="58">
        <v>310.93</v>
      </c>
      <c r="K12" s="58">
        <v>529.01</v>
      </c>
    </row>
    <row r="13" spans="2:11" ht="14.25" customHeight="1" x14ac:dyDescent="0.2">
      <c r="B13" s="93"/>
      <c r="C13" s="94"/>
      <c r="D13" s="94"/>
      <c r="E13" s="95"/>
      <c r="F13" s="2" t="s">
        <v>9</v>
      </c>
      <c r="G13" s="2"/>
      <c r="H13" s="3">
        <v>21.06</v>
      </c>
      <c r="I13" s="3">
        <v>21.06</v>
      </c>
      <c r="J13" s="3">
        <v>21.06</v>
      </c>
      <c r="K13" s="3">
        <v>21.06</v>
      </c>
    </row>
    <row r="14" spans="2:11" ht="14.25" customHeight="1" x14ac:dyDescent="0.2">
      <c r="B14" s="93"/>
      <c r="C14" s="94"/>
      <c r="D14" s="94"/>
      <c r="E14" s="95"/>
      <c r="F14" s="2" t="s">
        <v>3</v>
      </c>
      <c r="G14" s="2"/>
      <c r="H14" s="3">
        <v>63.65</v>
      </c>
      <c r="I14" s="3">
        <v>98.97</v>
      </c>
      <c r="J14" s="3">
        <v>116.56</v>
      </c>
      <c r="K14" s="3">
        <v>186.7</v>
      </c>
    </row>
    <row r="15" spans="2:11" ht="14.25" customHeight="1" x14ac:dyDescent="0.2">
      <c r="B15" s="93"/>
      <c r="C15" s="94"/>
      <c r="D15" s="94"/>
      <c r="E15" s="95"/>
      <c r="F15" s="48" t="s">
        <v>4</v>
      </c>
      <c r="G15" s="49">
        <v>0.1</v>
      </c>
      <c r="H15" s="50">
        <f>SUM(H12:H14)*$G$15</f>
        <v>22</v>
      </c>
      <c r="I15" s="50">
        <f>SUM(I12:I14)*$G$15</f>
        <v>35.262999999999998</v>
      </c>
      <c r="J15" s="50">
        <f>SUM(J12:J14)*$G$15</f>
        <v>44.855000000000004</v>
      </c>
      <c r="K15" s="50">
        <f>SUM(K12:K14)*$G$15</f>
        <v>73.677000000000007</v>
      </c>
    </row>
    <row r="16" spans="2:11" ht="14.25" customHeight="1" x14ac:dyDescent="0.2">
      <c r="B16" s="93"/>
      <c r="C16" s="94"/>
      <c r="D16" s="94"/>
      <c r="E16" s="95"/>
      <c r="F16" s="45" t="s">
        <v>5</v>
      </c>
      <c r="G16" s="46">
        <v>0.19</v>
      </c>
      <c r="H16" s="47">
        <f>SUM(H12:H15)*$G$16</f>
        <v>45.980000000000004</v>
      </c>
      <c r="I16" s="47">
        <f>SUM(I12:I15)*$G$16</f>
        <v>73.699669999999998</v>
      </c>
      <c r="J16" s="47">
        <f>SUM(J12:J15)*$G$16</f>
        <v>93.746950000000012</v>
      </c>
      <c r="K16" s="47">
        <f>SUM(K12:K15)*$G$16</f>
        <v>153.98492999999999</v>
      </c>
    </row>
    <row r="17" spans="2:11" ht="15" customHeight="1" x14ac:dyDescent="0.25">
      <c r="B17" s="93"/>
      <c r="C17" s="94"/>
      <c r="D17" s="94"/>
      <c r="E17" s="95"/>
      <c r="F17" s="75" t="s">
        <v>6</v>
      </c>
      <c r="G17" s="21" t="s">
        <v>94</v>
      </c>
      <c r="H17" s="5">
        <f>SUM(H12:H16)</f>
        <v>287.98</v>
      </c>
      <c r="I17" s="5">
        <f>SUM(I12:I16)</f>
        <v>461.59267</v>
      </c>
      <c r="J17" s="5">
        <f>SUM(J12:J16)</f>
        <v>587.15195000000006</v>
      </c>
      <c r="K17" s="5">
        <f>SUM(K12:K16)</f>
        <v>964.43192999999997</v>
      </c>
    </row>
    <row r="18" spans="2:11" ht="15" customHeight="1" thickBot="1" x14ac:dyDescent="0.25">
      <c r="B18" s="96"/>
      <c r="C18" s="97"/>
      <c r="D18" s="97"/>
      <c r="E18" s="98"/>
      <c r="F18" s="76"/>
      <c r="G18" s="55" t="s">
        <v>95</v>
      </c>
      <c r="H18" s="56">
        <f>H17/H5</f>
        <v>287.98</v>
      </c>
      <c r="I18" s="56">
        <f>I17/I5</f>
        <v>18.463706800000001</v>
      </c>
      <c r="J18" s="56">
        <f>J17/J5</f>
        <v>11.743039000000001</v>
      </c>
      <c r="K18" s="56">
        <f>K17/K5</f>
        <v>9.6443192999999994</v>
      </c>
    </row>
    <row r="19" spans="2:11" ht="15" customHeight="1" thickTop="1" x14ac:dyDescent="0.2">
      <c r="B19" s="99" t="s">
        <v>15</v>
      </c>
      <c r="C19" s="100"/>
      <c r="D19" s="100"/>
      <c r="E19" s="101"/>
      <c r="F19" s="57" t="s">
        <v>100</v>
      </c>
      <c r="G19" s="57"/>
      <c r="H19" s="58">
        <v>55</v>
      </c>
      <c r="I19" s="58">
        <f>H19*I5</f>
        <v>1375</v>
      </c>
      <c r="J19" s="58">
        <f>H19*J5</f>
        <v>2750</v>
      </c>
      <c r="K19" s="58">
        <f>H19*K5</f>
        <v>5500</v>
      </c>
    </row>
    <row r="20" spans="2:11" ht="15" customHeight="1" x14ac:dyDescent="0.2">
      <c r="B20" s="93"/>
      <c r="C20" s="94"/>
      <c r="D20" s="94"/>
      <c r="E20" s="95"/>
      <c r="F20" s="2" t="s">
        <v>3</v>
      </c>
      <c r="G20" s="3"/>
      <c r="H20" s="3">
        <v>41</v>
      </c>
      <c r="I20" s="3">
        <v>259</v>
      </c>
      <c r="J20" s="3">
        <v>260</v>
      </c>
      <c r="K20" s="3">
        <v>655</v>
      </c>
    </row>
    <row r="21" spans="2:11" ht="15" customHeight="1" x14ac:dyDescent="0.2">
      <c r="B21" s="93"/>
      <c r="C21" s="94"/>
      <c r="D21" s="94"/>
      <c r="E21" s="95"/>
      <c r="F21" s="48" t="s">
        <v>4</v>
      </c>
      <c r="G21" s="49">
        <v>0.1</v>
      </c>
      <c r="H21" s="50">
        <f>H19*$G$21</f>
        <v>5.5</v>
      </c>
      <c r="I21" s="50">
        <f>I19*$G$21</f>
        <v>137.5</v>
      </c>
      <c r="J21" s="50">
        <f>J19*$G$21</f>
        <v>275</v>
      </c>
      <c r="K21" s="50">
        <f>K19*$G$21</f>
        <v>550</v>
      </c>
    </row>
    <row r="22" spans="2:11" ht="15" customHeight="1" x14ac:dyDescent="0.2">
      <c r="B22" s="93"/>
      <c r="C22" s="94"/>
      <c r="D22" s="94"/>
      <c r="E22" s="95"/>
      <c r="F22" s="45" t="s">
        <v>5</v>
      </c>
      <c r="G22" s="46">
        <v>0.19</v>
      </c>
      <c r="H22" s="47">
        <f>(H19+H21)*$G$22</f>
        <v>11.495000000000001</v>
      </c>
      <c r="I22" s="47">
        <f>(I19+I21)*$G$22</f>
        <v>287.375</v>
      </c>
      <c r="J22" s="47">
        <f>(J19+J21)*$G$22</f>
        <v>574.75</v>
      </c>
      <c r="K22" s="47">
        <f>(K19+K21)*$G$22</f>
        <v>1149.5</v>
      </c>
    </row>
    <row r="23" spans="2:11" ht="15" customHeight="1" x14ac:dyDescent="0.25">
      <c r="B23" s="93"/>
      <c r="C23" s="94"/>
      <c r="D23" s="94"/>
      <c r="E23" s="95"/>
      <c r="F23" s="75" t="s">
        <v>6</v>
      </c>
      <c r="G23" s="21" t="s">
        <v>94</v>
      </c>
      <c r="H23" s="5">
        <f>SUM(H19:H22)</f>
        <v>112.995</v>
      </c>
      <c r="I23" s="5">
        <f>SUM(I19:I22)</f>
        <v>2058.875</v>
      </c>
      <c r="J23" s="5">
        <f>SUM(J19:J22)</f>
        <v>3859.75</v>
      </c>
      <c r="K23" s="5">
        <f>SUM(K19:K22)</f>
        <v>7854.5</v>
      </c>
    </row>
    <row r="24" spans="2:11" ht="15" customHeight="1" thickBot="1" x14ac:dyDescent="0.25">
      <c r="B24" s="96"/>
      <c r="C24" s="97"/>
      <c r="D24" s="97"/>
      <c r="E24" s="98"/>
      <c r="F24" s="76"/>
      <c r="G24" s="55" t="s">
        <v>95</v>
      </c>
      <c r="H24" s="56">
        <f>H23/H5</f>
        <v>112.995</v>
      </c>
      <c r="I24" s="56">
        <f>I23/I5</f>
        <v>82.355000000000004</v>
      </c>
      <c r="J24" s="56">
        <f>J23/J5</f>
        <v>77.194999999999993</v>
      </c>
      <c r="K24" s="56">
        <f>K23/K5</f>
        <v>78.545000000000002</v>
      </c>
    </row>
    <row r="25" spans="2:11" ht="15" customHeight="1" thickTop="1" x14ac:dyDescent="0.2">
      <c r="B25" s="99" t="s">
        <v>87</v>
      </c>
      <c r="C25" s="100"/>
      <c r="D25" s="100"/>
      <c r="E25" s="101"/>
      <c r="F25" s="53" t="s">
        <v>86</v>
      </c>
      <c r="G25" s="60"/>
      <c r="H25" s="54">
        <v>100</v>
      </c>
      <c r="I25" s="54">
        <f>H25*I5</f>
        <v>2500</v>
      </c>
      <c r="J25" s="54">
        <f>H25*J5</f>
        <v>5000</v>
      </c>
      <c r="K25" s="54">
        <f>H25*K5</f>
        <v>10000</v>
      </c>
    </row>
    <row r="26" spans="2:11" ht="15" customHeight="1" x14ac:dyDescent="0.2">
      <c r="B26" s="93"/>
      <c r="C26" s="94"/>
      <c r="D26" s="94"/>
      <c r="E26" s="95"/>
      <c r="F26" s="2" t="s">
        <v>3</v>
      </c>
      <c r="G26" s="3"/>
      <c r="H26" s="3">
        <v>10</v>
      </c>
      <c r="I26" s="3">
        <v>120</v>
      </c>
      <c r="J26" s="3">
        <v>120</v>
      </c>
      <c r="K26" s="3">
        <v>120</v>
      </c>
    </row>
    <row r="27" spans="2:11" ht="15" customHeight="1" x14ac:dyDescent="0.2">
      <c r="B27" s="93"/>
      <c r="C27" s="94"/>
      <c r="D27" s="94"/>
      <c r="E27" s="95"/>
      <c r="F27" s="48" t="s">
        <v>4</v>
      </c>
      <c r="G27" s="49">
        <v>0.1</v>
      </c>
      <c r="H27" s="50">
        <f>H25*$G$27</f>
        <v>10</v>
      </c>
      <c r="I27" s="50">
        <f>I25*$G$27</f>
        <v>250</v>
      </c>
      <c r="J27" s="50">
        <f>J25*$G$27</f>
        <v>500</v>
      </c>
      <c r="K27" s="50">
        <f>K25*$G$27</f>
        <v>1000</v>
      </c>
    </row>
    <row r="28" spans="2:11" ht="15" customHeight="1" x14ac:dyDescent="0.2">
      <c r="B28" s="93"/>
      <c r="C28" s="94"/>
      <c r="D28" s="94"/>
      <c r="E28" s="95"/>
      <c r="F28" s="45" t="s">
        <v>5</v>
      </c>
      <c r="G28" s="46">
        <v>0.19</v>
      </c>
      <c r="H28" s="47">
        <f>(H25+H27)*$G$28</f>
        <v>20.9</v>
      </c>
      <c r="I28" s="47">
        <f>(I25+I27)*$G$28</f>
        <v>522.5</v>
      </c>
      <c r="J28" s="47">
        <f>(J25+J27)*$G$28</f>
        <v>1045</v>
      </c>
      <c r="K28" s="47">
        <f>(K25+K27)*$G$28</f>
        <v>2090</v>
      </c>
    </row>
    <row r="29" spans="2:11" ht="15" customHeight="1" x14ac:dyDescent="0.25">
      <c r="B29" s="93"/>
      <c r="C29" s="94"/>
      <c r="D29" s="94"/>
      <c r="E29" s="95"/>
      <c r="F29" s="75" t="s">
        <v>6</v>
      </c>
      <c r="G29" s="21" t="s">
        <v>94</v>
      </c>
      <c r="H29" s="5">
        <f>SUM(H25:H28)</f>
        <v>140.9</v>
      </c>
      <c r="I29" s="5">
        <f>SUM(I25:I28)</f>
        <v>3392.5</v>
      </c>
      <c r="J29" s="5">
        <f>SUM(J25:J28)</f>
        <v>6665</v>
      </c>
      <c r="K29" s="5">
        <f>SUM(K25:K28)</f>
        <v>13210</v>
      </c>
    </row>
    <row r="30" spans="2:11" ht="15" customHeight="1" thickBot="1" x14ac:dyDescent="0.25">
      <c r="B30" s="96"/>
      <c r="C30" s="97"/>
      <c r="D30" s="97"/>
      <c r="E30" s="98"/>
      <c r="F30" s="76"/>
      <c r="G30" s="55" t="s">
        <v>95</v>
      </c>
      <c r="H30" s="56">
        <f>H29/H5</f>
        <v>140.9</v>
      </c>
      <c r="I30" s="56">
        <f>I29/I5</f>
        <v>135.69999999999999</v>
      </c>
      <c r="J30" s="56">
        <f>J29/J5</f>
        <v>133.30000000000001</v>
      </c>
      <c r="K30" s="56">
        <f>K29/K5</f>
        <v>132.1</v>
      </c>
    </row>
    <row r="31" spans="2:11" ht="15" customHeight="1" thickTop="1" x14ac:dyDescent="0.25">
      <c r="B31" s="84" t="s">
        <v>97</v>
      </c>
      <c r="C31" s="85"/>
      <c r="D31" s="85"/>
      <c r="E31" s="85"/>
      <c r="F31" s="86"/>
      <c r="G31" s="61" t="s">
        <v>90</v>
      </c>
      <c r="H31" s="62">
        <f>SUM(H29,H23,H17,H10)</f>
        <v>891.875</v>
      </c>
      <c r="I31" s="62">
        <f>SUM(I29,I23,I17,I10)</f>
        <v>6262.96767</v>
      </c>
      <c r="J31" s="62">
        <f>SUM(J29,J23,J17,J10)</f>
        <v>28194.35195</v>
      </c>
      <c r="K31" s="62">
        <f>SUM(K29,K23,K17,K10)</f>
        <v>54884.83193</v>
      </c>
    </row>
    <row r="32" spans="2:11" ht="15" customHeight="1" thickBot="1" x14ac:dyDescent="0.3">
      <c r="B32" s="87"/>
      <c r="C32" s="88"/>
      <c r="D32" s="88"/>
      <c r="E32" s="88"/>
      <c r="F32" s="89"/>
      <c r="G32" s="63" t="s">
        <v>91</v>
      </c>
      <c r="H32" s="59">
        <f>SUM(H17,H10,H23,H29)*$C$2</f>
        <v>3567500</v>
      </c>
      <c r="I32" s="59">
        <f>SUM(I17,I10,I23,I29)*$C$2</f>
        <v>25051870.68</v>
      </c>
      <c r="J32" s="59">
        <f>SUM(J17,J10,J23,J29)*$C$2</f>
        <v>112777407.8</v>
      </c>
      <c r="K32" s="59">
        <f>SUM(K17,K10,K23,K29)*$C$2</f>
        <v>219539327.72</v>
      </c>
    </row>
    <row r="33" spans="2:11" ht="14.25" customHeight="1" thickTop="1" x14ac:dyDescent="0.2">
      <c r="B33" s="105" t="s">
        <v>96</v>
      </c>
      <c r="C33" s="105"/>
      <c r="D33" s="105"/>
      <c r="E33" s="53" t="s">
        <v>10</v>
      </c>
      <c r="F33" s="60">
        <v>0.05</v>
      </c>
      <c r="G33" s="60"/>
      <c r="H33" s="54">
        <f>H32*$F$33</f>
        <v>178375</v>
      </c>
      <c r="I33" s="54">
        <f>I32*$F$33</f>
        <v>1252593.534</v>
      </c>
      <c r="J33" s="54">
        <f>J32*$F$33</f>
        <v>5638870.3900000006</v>
      </c>
      <c r="K33" s="54">
        <f>K32*$F$33</f>
        <v>10976966.386</v>
      </c>
    </row>
    <row r="34" spans="2:11" ht="14.25" customHeight="1" x14ac:dyDescent="0.2">
      <c r="B34" s="106"/>
      <c r="C34" s="106"/>
      <c r="D34" s="106"/>
      <c r="E34" s="2" t="s">
        <v>11</v>
      </c>
      <c r="F34" s="6">
        <v>1000</v>
      </c>
      <c r="G34" s="7">
        <v>32</v>
      </c>
      <c r="H34" s="3">
        <v>60000</v>
      </c>
      <c r="I34" s="3">
        <v>85000</v>
      </c>
      <c r="J34" s="3">
        <v>85000</v>
      </c>
      <c r="K34" s="3">
        <v>145000</v>
      </c>
    </row>
    <row r="35" spans="2:11" ht="14.25" customHeight="1" x14ac:dyDescent="0.2">
      <c r="B35" s="106"/>
      <c r="C35" s="106"/>
      <c r="D35" s="106"/>
      <c r="E35" s="2" t="s">
        <v>12</v>
      </c>
      <c r="F35" s="6">
        <f>ROUND(1400000/30,0)/8</f>
        <v>5833.375</v>
      </c>
      <c r="G35" s="7">
        <v>64</v>
      </c>
      <c r="H35" s="3">
        <v>120000</v>
      </c>
      <c r="I35" s="3">
        <v>712500</v>
      </c>
      <c r="J35" s="3">
        <v>712500</v>
      </c>
      <c r="K35" s="3">
        <v>1325000</v>
      </c>
    </row>
    <row r="36" spans="2:11" ht="14.25" customHeight="1" x14ac:dyDescent="0.25">
      <c r="B36" s="106"/>
      <c r="C36" s="106"/>
      <c r="D36" s="106"/>
      <c r="E36" s="110" t="s">
        <v>6</v>
      </c>
      <c r="F36" s="111"/>
      <c r="G36" s="21" t="s">
        <v>94</v>
      </c>
      <c r="H36" s="5">
        <f>SUM(H33:H35)</f>
        <v>358375</v>
      </c>
      <c r="I36" s="5">
        <f>SUM(I33:I35)</f>
        <v>2050093.534</v>
      </c>
      <c r="J36" s="5">
        <f>SUM(J33:J35)</f>
        <v>6436370.3900000006</v>
      </c>
      <c r="K36" s="5">
        <f>SUM(K33:K35)</f>
        <v>12446966.386</v>
      </c>
    </row>
    <row r="37" spans="2:11" ht="14.25" customHeight="1" thickBot="1" x14ac:dyDescent="0.25">
      <c r="B37" s="106"/>
      <c r="C37" s="106"/>
      <c r="D37" s="106"/>
      <c r="E37" s="112"/>
      <c r="F37" s="113"/>
      <c r="G37" s="55" t="s">
        <v>95</v>
      </c>
      <c r="H37" s="56">
        <f>H36/H5</f>
        <v>358375</v>
      </c>
      <c r="I37" s="56">
        <f>I36/I5</f>
        <v>82003.74136</v>
      </c>
      <c r="J37" s="56">
        <f>J36/J5</f>
        <v>128727.40780000002</v>
      </c>
      <c r="K37" s="56">
        <f>K36/K5</f>
        <v>124469.66386</v>
      </c>
    </row>
    <row r="38" spans="2:11" ht="18.75" thickTop="1" x14ac:dyDescent="0.25">
      <c r="B38" s="114" t="s">
        <v>13</v>
      </c>
      <c r="C38" s="115"/>
      <c r="D38" s="115"/>
      <c r="E38" s="115"/>
      <c r="F38" s="116"/>
      <c r="G38" s="43" t="s">
        <v>91</v>
      </c>
      <c r="H38" s="8">
        <f>SUM(H32:H35)</f>
        <v>3925875</v>
      </c>
      <c r="I38" s="8">
        <f>SUM(I32:I35)</f>
        <v>27101964.214000002</v>
      </c>
      <c r="J38" s="8">
        <f>SUM(J32:J35)</f>
        <v>119213778.19</v>
      </c>
      <c r="K38" s="8">
        <f>SUM(K32:K35)</f>
        <v>231986294.10600001</v>
      </c>
    </row>
    <row r="39" spans="2:11" ht="18" x14ac:dyDescent="0.25">
      <c r="B39" s="117"/>
      <c r="C39" s="118"/>
      <c r="D39" s="118"/>
      <c r="E39" s="118"/>
      <c r="F39" s="119"/>
      <c r="G39" s="40" t="s">
        <v>90</v>
      </c>
      <c r="H39" s="8">
        <f>H38/$C$2</f>
        <v>981.46875</v>
      </c>
      <c r="I39" s="8">
        <f>I38/$C$2</f>
        <v>6775.4910535000008</v>
      </c>
      <c r="J39" s="8">
        <f>J38/$C$2</f>
        <v>29803.444547499999</v>
      </c>
      <c r="K39" s="8">
        <f>K38/$C$2</f>
        <v>57996.573526500004</v>
      </c>
    </row>
    <row r="40" spans="2:11" ht="18" x14ac:dyDescent="0.25">
      <c r="B40" s="64"/>
      <c r="C40" s="64"/>
      <c r="D40" s="64"/>
      <c r="E40" s="64"/>
      <c r="F40" s="64"/>
      <c r="G40" s="65"/>
      <c r="H40" s="66"/>
      <c r="I40" s="66"/>
      <c r="J40" s="66"/>
      <c r="K40" s="66"/>
    </row>
    <row r="41" spans="2:11" ht="18" x14ac:dyDescent="0.25">
      <c r="B41" s="83" t="s">
        <v>14</v>
      </c>
      <c r="C41" s="83"/>
      <c r="D41" s="83"/>
      <c r="E41" s="83"/>
      <c r="F41" s="83"/>
      <c r="G41" s="43" t="s">
        <v>91</v>
      </c>
      <c r="H41" s="8">
        <f>H38/H5</f>
        <v>3925875</v>
      </c>
      <c r="I41" s="8">
        <f>I38/I5</f>
        <v>1084078.56856</v>
      </c>
      <c r="J41" s="8">
        <f>J38/J5</f>
        <v>2384275.5638000001</v>
      </c>
      <c r="K41" s="8">
        <f>K38/K5</f>
        <v>2319862.9410600001</v>
      </c>
    </row>
    <row r="42" spans="2:11" ht="18" x14ac:dyDescent="0.25">
      <c r="B42" s="83"/>
      <c r="C42" s="83"/>
      <c r="D42" s="83"/>
      <c r="E42" s="83"/>
      <c r="F42" s="83"/>
      <c r="G42" s="40" t="s">
        <v>90</v>
      </c>
      <c r="H42" s="8">
        <f>H41/$C$2</f>
        <v>981.46875</v>
      </c>
      <c r="I42" s="8">
        <f>I41/$C$2</f>
        <v>271.01964214000003</v>
      </c>
      <c r="J42" s="8">
        <f>J41/$C$2</f>
        <v>596.06889095000008</v>
      </c>
      <c r="K42" s="8">
        <f>K41/$C$2</f>
        <v>579.96573526500003</v>
      </c>
    </row>
    <row r="43" spans="2:11" ht="18" x14ac:dyDescent="0.25">
      <c r="B43" s="44"/>
      <c r="C43" s="44"/>
      <c r="D43" s="44"/>
      <c r="E43" s="44"/>
      <c r="F43" s="44"/>
      <c r="G43" s="41"/>
      <c r="H43" s="67"/>
      <c r="I43" s="42"/>
      <c r="J43" s="42"/>
      <c r="K43" s="42"/>
    </row>
    <row r="44" spans="2:11" ht="15.75" x14ac:dyDescent="0.25">
      <c r="B44" s="83" t="s">
        <v>92</v>
      </c>
      <c r="C44" s="83"/>
      <c r="D44" s="83"/>
      <c r="E44" s="83"/>
      <c r="F44" s="83"/>
      <c r="G44" s="51" t="s">
        <v>90</v>
      </c>
      <c r="H44" s="52">
        <f>SUM(H8,H15,H21,H27)</f>
        <v>68.5</v>
      </c>
      <c r="I44" s="52">
        <f>SUM(I8,I15,I21,I27)</f>
        <v>1132.7629999999999</v>
      </c>
      <c r="J44" s="52">
        <f>SUM(J8,J15,J21,J27)</f>
        <v>2124.855</v>
      </c>
      <c r="K44" s="52">
        <f>SUM(K8,K15,K21,K27)</f>
        <v>4133.6769999999997</v>
      </c>
    </row>
    <row r="45" spans="2:11" ht="18" x14ac:dyDescent="0.25">
      <c r="B45" s="83"/>
      <c r="C45" s="83"/>
      <c r="D45" s="83"/>
      <c r="E45" s="83"/>
      <c r="F45" s="83"/>
      <c r="G45" s="43" t="s">
        <v>91</v>
      </c>
      <c r="H45" s="8">
        <f>H44*$C$2</f>
        <v>274000</v>
      </c>
      <c r="I45" s="8">
        <f>I44*$C$2</f>
        <v>4531052</v>
      </c>
      <c r="J45" s="8">
        <f t="shared" ref="J45:K45" si="0">J44*$C$2</f>
        <v>8499420</v>
      </c>
      <c r="K45" s="8">
        <f t="shared" si="0"/>
        <v>16534707.999999998</v>
      </c>
    </row>
    <row r="46" spans="2:11" ht="15.75" x14ac:dyDescent="0.25">
      <c r="B46" s="83" t="s">
        <v>5</v>
      </c>
      <c r="C46" s="83"/>
      <c r="D46" s="83"/>
      <c r="E46" s="83"/>
      <c r="F46" s="83"/>
      <c r="G46" s="51" t="s">
        <v>90</v>
      </c>
      <c r="H46" s="52">
        <f>SUM(H9,H16,H22,H28)</f>
        <v>143.16500000000002</v>
      </c>
      <c r="I46" s="52">
        <f>SUM(I9,I16,I22,I28)</f>
        <v>2367.4746700000001</v>
      </c>
      <c r="J46" s="52">
        <f>SUM(J9,J16,J22,J28)</f>
        <v>4440.9469499999996</v>
      </c>
      <c r="K46" s="52">
        <f>SUM(K9,K16,K22,K28)</f>
        <v>8639.3849300000002</v>
      </c>
    </row>
    <row r="47" spans="2:11" ht="18" x14ac:dyDescent="0.25">
      <c r="B47" s="83"/>
      <c r="C47" s="83"/>
      <c r="D47" s="83"/>
      <c r="E47" s="83"/>
      <c r="F47" s="83"/>
      <c r="G47" s="43" t="s">
        <v>91</v>
      </c>
      <c r="H47" s="8">
        <f>H46*$C$2</f>
        <v>572660.00000000012</v>
      </c>
      <c r="I47" s="8">
        <f>I46*$C$2</f>
        <v>9469898.6799999997</v>
      </c>
      <c r="J47" s="8">
        <f t="shared" ref="J47:K47" si="1">J46*$C$2</f>
        <v>17763787.799999997</v>
      </c>
      <c r="K47" s="8">
        <f t="shared" si="1"/>
        <v>34557539.719999999</v>
      </c>
    </row>
    <row r="48" spans="2:11" ht="18" x14ac:dyDescent="0.25">
      <c r="B48" s="44"/>
      <c r="C48" s="44"/>
      <c r="D48" s="44"/>
      <c r="E48" s="44"/>
      <c r="F48" s="44"/>
      <c r="G48" s="41"/>
      <c r="H48" s="42"/>
      <c r="I48" s="42"/>
      <c r="J48" s="42"/>
      <c r="K48" s="42"/>
    </row>
    <row r="49" spans="2:13" ht="18" x14ac:dyDescent="0.25">
      <c r="B49" s="83" t="s">
        <v>93</v>
      </c>
      <c r="C49" s="83"/>
      <c r="D49" s="83"/>
      <c r="E49" s="83"/>
      <c r="F49" s="83"/>
      <c r="G49" s="43" t="s">
        <v>91</v>
      </c>
      <c r="H49" s="8">
        <f>(H38-H47)/H5</f>
        <v>3353215</v>
      </c>
      <c r="I49" s="8">
        <f>(I38-I47)/I5</f>
        <v>705282.62136000011</v>
      </c>
      <c r="J49" s="8">
        <f>(J38-J47)/J5</f>
        <v>2028999.8078000001</v>
      </c>
      <c r="K49" s="8">
        <f>(K38-K47)/K5</f>
        <v>1974287.5438600001</v>
      </c>
    </row>
    <row r="50" spans="2:13" ht="18" x14ac:dyDescent="0.25">
      <c r="B50" s="83"/>
      <c r="C50" s="83"/>
      <c r="D50" s="83"/>
      <c r="E50" s="83"/>
      <c r="F50" s="83"/>
      <c r="G50" s="40" t="s">
        <v>90</v>
      </c>
      <c r="H50" s="8">
        <f>H49/$C$2</f>
        <v>838.30375000000004</v>
      </c>
      <c r="I50" s="8">
        <f>I49/$C$2</f>
        <v>176.32065534000003</v>
      </c>
      <c r="J50" s="8">
        <f t="shared" ref="J50:K50" si="2">J49/$C$2</f>
        <v>507.24995195000002</v>
      </c>
      <c r="K50" s="8">
        <f t="shared" si="2"/>
        <v>493.57188596500004</v>
      </c>
    </row>
    <row r="52" spans="2:13" x14ac:dyDescent="0.2">
      <c r="B52" s="79" t="s">
        <v>17</v>
      </c>
      <c r="C52" s="79"/>
      <c r="D52" s="79"/>
      <c r="E52" s="79"/>
      <c r="F52" s="2"/>
      <c r="G52" s="2"/>
      <c r="H52" s="11">
        <v>5500000</v>
      </c>
      <c r="I52" s="11">
        <v>5500000</v>
      </c>
      <c r="J52" s="11">
        <v>5500000</v>
      </c>
      <c r="K52" s="11">
        <v>5500000</v>
      </c>
      <c r="L52" s="14"/>
      <c r="M52" s="14"/>
    </row>
    <row r="53" spans="2:13" x14ac:dyDescent="0.2">
      <c r="B53" s="79" t="s">
        <v>18</v>
      </c>
      <c r="C53" s="79"/>
      <c r="D53" s="79"/>
      <c r="E53" s="79"/>
      <c r="F53" s="2"/>
      <c r="G53" s="2"/>
      <c r="H53" s="11">
        <f>H41</f>
        <v>3925875</v>
      </c>
      <c r="I53" s="11">
        <f>I41</f>
        <v>1084078.56856</v>
      </c>
      <c r="J53" s="11">
        <f>J41</f>
        <v>2384275.5638000001</v>
      </c>
      <c r="K53" s="11">
        <f>K41</f>
        <v>2319862.9410600001</v>
      </c>
      <c r="L53" s="14"/>
      <c r="M53" s="14"/>
    </row>
    <row r="54" spans="2:13" s="15" customFormat="1" ht="15" x14ac:dyDescent="0.25">
      <c r="B54" s="102" t="s">
        <v>19</v>
      </c>
      <c r="C54" s="102"/>
      <c r="D54" s="102"/>
      <c r="E54" s="102"/>
      <c r="F54" s="21"/>
      <c r="G54" s="21"/>
      <c r="H54" s="12">
        <f>H52-H53</f>
        <v>1574125</v>
      </c>
      <c r="I54" s="12">
        <f>I52-I53</f>
        <v>4415921.4314399995</v>
      </c>
      <c r="J54" s="12">
        <f>J52-J53</f>
        <v>3115724.4361999999</v>
      </c>
      <c r="K54" s="12">
        <f>K52-K53</f>
        <v>3180137.0589399999</v>
      </c>
      <c r="L54" s="16"/>
      <c r="M54" s="16"/>
    </row>
    <row r="55" spans="2:13" s="15" customFormat="1" ht="15" x14ac:dyDescent="0.25">
      <c r="B55" s="102" t="s">
        <v>20</v>
      </c>
      <c r="C55" s="102"/>
      <c r="D55" s="102"/>
      <c r="E55" s="102"/>
      <c r="F55" s="21"/>
      <c r="G55" s="21"/>
      <c r="H55" s="22">
        <f>(H52-H53)/H52</f>
        <v>0.28620454545454543</v>
      </c>
      <c r="I55" s="22">
        <f>(I52-I53)/I52</f>
        <v>0.80289480571636351</v>
      </c>
      <c r="J55" s="22">
        <f>(J52-J53)/J52</f>
        <v>0.56649535203636359</v>
      </c>
      <c r="K55" s="22">
        <f>(K52-K53)/K52</f>
        <v>0.57820673798909095</v>
      </c>
      <c r="L55" s="16"/>
      <c r="M55" s="16"/>
    </row>
    <row r="56" spans="2:13" x14ac:dyDescent="0.2">
      <c r="B56" s="79" t="s">
        <v>21</v>
      </c>
      <c r="C56" s="79"/>
      <c r="D56" s="79"/>
      <c r="E56" s="79"/>
      <c r="F56" s="4">
        <v>0.04</v>
      </c>
      <c r="G56" s="2"/>
      <c r="H56" s="11">
        <f t="shared" ref="H56:K62" si="3">H$52*$F56</f>
        <v>220000</v>
      </c>
      <c r="I56" s="11">
        <f t="shared" si="3"/>
        <v>220000</v>
      </c>
      <c r="J56" s="11">
        <f t="shared" si="3"/>
        <v>220000</v>
      </c>
      <c r="K56" s="11">
        <f t="shared" si="3"/>
        <v>220000</v>
      </c>
      <c r="L56" s="14"/>
      <c r="M56" s="14"/>
    </row>
    <row r="57" spans="2:13" x14ac:dyDescent="0.2">
      <c r="B57" s="79" t="s">
        <v>22</v>
      </c>
      <c r="C57" s="79"/>
      <c r="D57" s="79"/>
      <c r="E57" s="79"/>
      <c r="F57" s="4">
        <v>0.03</v>
      </c>
      <c r="G57" s="2"/>
      <c r="H57" s="11">
        <f t="shared" si="3"/>
        <v>165000</v>
      </c>
      <c r="I57" s="11">
        <f t="shared" si="3"/>
        <v>165000</v>
      </c>
      <c r="J57" s="11">
        <f t="shared" si="3"/>
        <v>165000</v>
      </c>
      <c r="K57" s="11">
        <f t="shared" si="3"/>
        <v>165000</v>
      </c>
      <c r="L57" s="14"/>
      <c r="M57" s="14"/>
    </row>
    <row r="58" spans="2:13" x14ac:dyDescent="0.2">
      <c r="B58" s="79" t="s">
        <v>23</v>
      </c>
      <c r="C58" s="79"/>
      <c r="D58" s="79"/>
      <c r="E58" s="79"/>
      <c r="F58" s="4">
        <v>0.05</v>
      </c>
      <c r="G58" s="2"/>
      <c r="H58" s="11">
        <f t="shared" si="3"/>
        <v>275000</v>
      </c>
      <c r="I58" s="11">
        <f t="shared" si="3"/>
        <v>275000</v>
      </c>
      <c r="J58" s="11">
        <f t="shared" si="3"/>
        <v>275000</v>
      </c>
      <c r="K58" s="11">
        <f t="shared" si="3"/>
        <v>275000</v>
      </c>
      <c r="L58" s="14"/>
      <c r="M58" s="14"/>
    </row>
    <row r="59" spans="2:13" x14ac:dyDescent="0.2">
      <c r="B59" s="79" t="s">
        <v>24</v>
      </c>
      <c r="C59" s="79"/>
      <c r="D59" s="79"/>
      <c r="E59" s="79"/>
      <c r="F59" s="4">
        <v>0.02</v>
      </c>
      <c r="G59" s="2"/>
      <c r="H59" s="11">
        <f t="shared" si="3"/>
        <v>110000</v>
      </c>
      <c r="I59" s="11">
        <f t="shared" si="3"/>
        <v>110000</v>
      </c>
      <c r="J59" s="11">
        <f t="shared" si="3"/>
        <v>110000</v>
      </c>
      <c r="K59" s="11">
        <f t="shared" si="3"/>
        <v>110000</v>
      </c>
      <c r="L59" s="14"/>
      <c r="M59" s="14"/>
    </row>
    <row r="60" spans="2:13" x14ac:dyDescent="0.2">
      <c r="B60" s="79" t="s">
        <v>25</v>
      </c>
      <c r="C60" s="79"/>
      <c r="D60" s="79"/>
      <c r="E60" s="79"/>
      <c r="F60" s="4">
        <v>0.01</v>
      </c>
      <c r="G60" s="2"/>
      <c r="H60" s="11">
        <f t="shared" si="3"/>
        <v>55000</v>
      </c>
      <c r="I60" s="11">
        <f t="shared" si="3"/>
        <v>55000</v>
      </c>
      <c r="J60" s="11">
        <f t="shared" si="3"/>
        <v>55000</v>
      </c>
      <c r="K60" s="11">
        <f t="shared" si="3"/>
        <v>55000</v>
      </c>
      <c r="L60" s="14"/>
      <c r="M60" s="14"/>
    </row>
    <row r="61" spans="2:13" x14ac:dyDescent="0.2">
      <c r="B61" s="79" t="s">
        <v>26</v>
      </c>
      <c r="C61" s="79"/>
      <c r="D61" s="79"/>
      <c r="E61" s="79"/>
      <c r="F61" s="4">
        <v>0.1</v>
      </c>
      <c r="G61" s="2"/>
      <c r="H61" s="11">
        <f t="shared" si="3"/>
        <v>550000</v>
      </c>
      <c r="I61" s="11">
        <f t="shared" si="3"/>
        <v>550000</v>
      </c>
      <c r="J61" s="11">
        <f t="shared" si="3"/>
        <v>550000</v>
      </c>
      <c r="K61" s="11">
        <f t="shared" si="3"/>
        <v>550000</v>
      </c>
      <c r="L61" s="14"/>
      <c r="M61" s="14"/>
    </row>
    <row r="62" spans="2:13" x14ac:dyDescent="0.2">
      <c r="B62" s="79" t="s">
        <v>27</v>
      </c>
      <c r="C62" s="79"/>
      <c r="D62" s="79"/>
      <c r="E62" s="79"/>
      <c r="F62" s="4">
        <v>0.02</v>
      </c>
      <c r="G62" s="2"/>
      <c r="H62" s="11">
        <f t="shared" si="3"/>
        <v>110000</v>
      </c>
      <c r="I62" s="11">
        <f t="shared" si="3"/>
        <v>110000</v>
      </c>
      <c r="J62" s="11">
        <f t="shared" si="3"/>
        <v>110000</v>
      </c>
      <c r="K62" s="11">
        <f t="shared" si="3"/>
        <v>110000</v>
      </c>
      <c r="L62" s="14"/>
      <c r="M62" s="14"/>
    </row>
    <row r="63" spans="2:13" ht="15" x14ac:dyDescent="0.25">
      <c r="B63" s="102" t="s">
        <v>28</v>
      </c>
      <c r="C63" s="102"/>
      <c r="D63" s="102"/>
      <c r="E63" s="102"/>
      <c r="F63" s="23"/>
      <c r="G63" s="21"/>
      <c r="H63" s="12">
        <f>SUM(H56:H62)</f>
        <v>1485000</v>
      </c>
      <c r="I63" s="12">
        <f>SUM(I56:I62)</f>
        <v>1485000</v>
      </c>
      <c r="J63" s="12">
        <f>SUM(J56:J62)</f>
        <v>1485000</v>
      </c>
      <c r="K63" s="12">
        <f>SUM(K56:K62)</f>
        <v>1485000</v>
      </c>
      <c r="L63" s="16"/>
      <c r="M63" s="16"/>
    </row>
    <row r="64" spans="2:13" s="15" customFormat="1" ht="15" x14ac:dyDescent="0.25">
      <c r="B64" s="102" t="s">
        <v>29</v>
      </c>
      <c r="C64" s="102"/>
      <c r="D64" s="102"/>
      <c r="E64" s="102"/>
      <c r="F64" s="23"/>
      <c r="G64" s="21"/>
      <c r="H64" s="12">
        <f>H54-H63</f>
        <v>89125</v>
      </c>
      <c r="I64" s="12">
        <f>I54-I63</f>
        <v>2930921.4314399995</v>
      </c>
      <c r="J64" s="12">
        <f>J54-J63</f>
        <v>1630724.4361999999</v>
      </c>
      <c r="K64" s="12">
        <f>K54-K63</f>
        <v>1695137.0589399999</v>
      </c>
      <c r="L64" s="16"/>
      <c r="M64" s="16"/>
    </row>
    <row r="65" spans="2:13" s="15" customFormat="1" ht="15" x14ac:dyDescent="0.25">
      <c r="B65" s="102" t="s">
        <v>30</v>
      </c>
      <c r="C65" s="102"/>
      <c r="D65" s="102"/>
      <c r="E65" s="102"/>
      <c r="F65" s="23"/>
      <c r="G65" s="21"/>
      <c r="H65" s="24">
        <f>H64/H52</f>
        <v>1.6204545454545454E-2</v>
      </c>
      <c r="I65" s="24">
        <f>I64/I52</f>
        <v>0.5328948057163635</v>
      </c>
      <c r="J65" s="24">
        <f>J64/J52</f>
        <v>0.29649535203636362</v>
      </c>
      <c r="K65" s="24">
        <f>K64/K52</f>
        <v>0.30820673798909087</v>
      </c>
      <c r="L65" s="16"/>
      <c r="M65" s="16"/>
    </row>
    <row r="66" spans="2:13" x14ac:dyDescent="0.2">
      <c r="B66" s="79" t="s">
        <v>31</v>
      </c>
      <c r="C66" s="79"/>
      <c r="D66" s="79"/>
      <c r="E66" s="79"/>
      <c r="F66" s="4">
        <v>0.02</v>
      </c>
      <c r="G66" s="2"/>
      <c r="H66" s="11">
        <f>H52*$F66</f>
        <v>110000</v>
      </c>
      <c r="I66" s="11">
        <f>I52*$F66</f>
        <v>110000</v>
      </c>
      <c r="J66" s="11">
        <f>J52*$F66</f>
        <v>110000</v>
      </c>
      <c r="K66" s="11">
        <f>K52*$F66</f>
        <v>110000</v>
      </c>
      <c r="L66" s="14"/>
      <c r="M66" s="14"/>
    </row>
    <row r="67" spans="2:13" s="15" customFormat="1" ht="15" x14ac:dyDescent="0.25">
      <c r="B67" s="102" t="s">
        <v>32</v>
      </c>
      <c r="C67" s="102"/>
      <c r="D67" s="102"/>
      <c r="E67" s="102"/>
      <c r="F67" s="21"/>
      <c r="G67" s="21"/>
      <c r="H67" s="12">
        <f>H64-H66</f>
        <v>-20875</v>
      </c>
      <c r="I67" s="12">
        <f>I64-I66</f>
        <v>2820921.4314399995</v>
      </c>
      <c r="J67" s="12">
        <f>J64-J66</f>
        <v>1520724.4361999999</v>
      </c>
      <c r="K67" s="12">
        <f>K64-K66</f>
        <v>1585137.0589399999</v>
      </c>
      <c r="L67" s="16"/>
      <c r="M67" s="16"/>
    </row>
    <row r="68" spans="2:13" s="15" customFormat="1" ht="15" x14ac:dyDescent="0.25">
      <c r="B68" s="102" t="s">
        <v>33</v>
      </c>
      <c r="C68" s="102"/>
      <c r="D68" s="102"/>
      <c r="E68" s="102"/>
      <c r="F68" s="21"/>
      <c r="G68" s="21"/>
      <c r="H68" s="22">
        <f>H67/H52</f>
        <v>-3.7954545454545454E-3</v>
      </c>
      <c r="I68" s="22">
        <f>I67/I52</f>
        <v>0.51289480571636359</v>
      </c>
      <c r="J68" s="22">
        <f>J67/J52</f>
        <v>0.27649535203636361</v>
      </c>
      <c r="K68" s="22">
        <f>K67/K52</f>
        <v>0.28820673798909091</v>
      </c>
      <c r="L68" s="16"/>
      <c r="M68" s="16"/>
    </row>
    <row r="69" spans="2:13" x14ac:dyDescent="0.2">
      <c r="B69" s="79" t="s">
        <v>34</v>
      </c>
      <c r="C69" s="79"/>
      <c r="D69" s="79"/>
      <c r="E69" s="79"/>
      <c r="F69" s="4">
        <v>0.35</v>
      </c>
      <c r="G69" s="2"/>
      <c r="H69" s="11">
        <f>$F69*H$67</f>
        <v>-7306.2499999999991</v>
      </c>
      <c r="I69" s="11">
        <f>$F69*I$67</f>
        <v>987322.50100399973</v>
      </c>
      <c r="J69" s="11">
        <f>$F69*J$67</f>
        <v>532253.55266999989</v>
      </c>
      <c r="K69" s="11">
        <f>$F69*K$67</f>
        <v>554797.97062899987</v>
      </c>
    </row>
    <row r="70" spans="2:13" s="72" customFormat="1" ht="15.75" x14ac:dyDescent="0.25">
      <c r="B70" s="103" t="s">
        <v>35</v>
      </c>
      <c r="C70" s="103"/>
      <c r="D70" s="103"/>
      <c r="E70" s="103"/>
      <c r="F70" s="68"/>
      <c r="G70" s="68"/>
      <c r="H70" s="69">
        <f>H67-H69</f>
        <v>-13568.75</v>
      </c>
      <c r="I70" s="69">
        <f>I67-I69</f>
        <v>1833598.9304359998</v>
      </c>
      <c r="J70" s="69">
        <f>J67-J69</f>
        <v>988470.88352999999</v>
      </c>
      <c r="K70" s="69">
        <f>K67-K69</f>
        <v>1030339.088311</v>
      </c>
    </row>
    <row r="71" spans="2:13" s="73" customFormat="1" ht="15" x14ac:dyDescent="0.25">
      <c r="B71" s="103" t="s">
        <v>36</v>
      </c>
      <c r="C71" s="103"/>
      <c r="D71" s="103"/>
      <c r="E71" s="103"/>
      <c r="F71" s="70"/>
      <c r="G71" s="70"/>
      <c r="H71" s="71">
        <f>H70/H52</f>
        <v>-2.4670454545454544E-3</v>
      </c>
      <c r="I71" s="71">
        <f>I70/I52</f>
        <v>0.33338162371563634</v>
      </c>
      <c r="J71" s="71">
        <f>J70/J52</f>
        <v>0.17972197882363636</v>
      </c>
      <c r="K71" s="71">
        <f>K70/K52</f>
        <v>0.18733437969290909</v>
      </c>
    </row>
    <row r="72" spans="2:13" ht="15" x14ac:dyDescent="0.25">
      <c r="B72" s="102" t="s">
        <v>37</v>
      </c>
      <c r="C72" s="102"/>
      <c r="D72" s="102"/>
      <c r="E72" s="102"/>
      <c r="F72" s="2"/>
      <c r="G72" s="2"/>
      <c r="H72" s="25"/>
      <c r="I72" s="25"/>
      <c r="J72" s="25"/>
      <c r="K72" s="25"/>
    </row>
    <row r="73" spans="2:13" x14ac:dyDescent="0.2">
      <c r="B73" s="79" t="s">
        <v>38</v>
      </c>
      <c r="C73" s="79"/>
      <c r="D73" s="79"/>
      <c r="E73" s="79"/>
      <c r="F73" s="2"/>
      <c r="G73" s="2"/>
      <c r="H73" s="26">
        <f>H52-(H63+H53)</f>
        <v>89125</v>
      </c>
      <c r="I73" s="26">
        <f>I52-(I63+I53)</f>
        <v>2930921.43144</v>
      </c>
      <c r="J73" s="26">
        <f>J52-(J63+J53)</f>
        <v>1630724.4361999999</v>
      </c>
      <c r="K73" s="26">
        <f>K52-(K63+K53)</f>
        <v>1695137.0589399999</v>
      </c>
    </row>
    <row r="74" spans="2:13" x14ac:dyDescent="0.2">
      <c r="B74" s="79" t="s">
        <v>39</v>
      </c>
      <c r="C74" s="79"/>
      <c r="D74" s="79"/>
      <c r="E74" s="79"/>
      <c r="F74" s="2"/>
      <c r="G74" s="2"/>
      <c r="H74" s="26">
        <v>10000000</v>
      </c>
      <c r="I74" s="26">
        <v>10000001</v>
      </c>
      <c r="J74" s="26">
        <v>10000000</v>
      </c>
      <c r="K74" s="26">
        <v>10000000</v>
      </c>
    </row>
    <row r="75" spans="2:13" x14ac:dyDescent="0.2">
      <c r="B75" s="79" t="s">
        <v>40</v>
      </c>
      <c r="C75" s="79"/>
      <c r="D75" s="79"/>
      <c r="E75" s="79"/>
      <c r="F75" s="2"/>
      <c r="G75" s="2"/>
      <c r="H75" s="2"/>
      <c r="I75" s="2"/>
      <c r="J75" s="27"/>
      <c r="K75" s="27">
        <f>ROUNDUP(K74/K73,0)</f>
        <v>6</v>
      </c>
    </row>
    <row r="76" spans="2:13" x14ac:dyDescent="0.2">
      <c r="B76" s="120"/>
      <c r="C76" s="120"/>
      <c r="D76" s="120"/>
      <c r="E76" s="120"/>
    </row>
    <row r="77" spans="2:13" ht="15.75" x14ac:dyDescent="0.25">
      <c r="B77" s="104" t="s">
        <v>98</v>
      </c>
      <c r="C77" s="104"/>
      <c r="D77" s="104"/>
      <c r="E77" s="104"/>
      <c r="F77" s="104"/>
      <c r="G77" s="104"/>
      <c r="H77" s="104"/>
      <c r="I77" s="104"/>
      <c r="J77" s="104"/>
      <c r="K77" s="104"/>
    </row>
    <row r="78" spans="2:13" ht="15" x14ac:dyDescent="0.25">
      <c r="B78" s="32" t="s">
        <v>41</v>
      </c>
      <c r="C78" s="21" t="s">
        <v>42</v>
      </c>
      <c r="D78" s="21" t="s">
        <v>43</v>
      </c>
      <c r="E78" s="21" t="s">
        <v>44</v>
      </c>
      <c r="F78" s="21" t="s">
        <v>45</v>
      </c>
      <c r="G78" s="21" t="s">
        <v>46</v>
      </c>
      <c r="H78" s="21" t="s">
        <v>47</v>
      </c>
      <c r="I78" s="21" t="s">
        <v>35</v>
      </c>
      <c r="J78" s="21" t="s">
        <v>48</v>
      </c>
      <c r="K78" s="21" t="s">
        <v>49</v>
      </c>
    </row>
    <row r="79" spans="2:13" ht="15" x14ac:dyDescent="0.25">
      <c r="B79" s="21">
        <v>30</v>
      </c>
      <c r="C79" s="11">
        <f>$J$52*B79</f>
        <v>165000000</v>
      </c>
      <c r="D79" s="11">
        <f>$J$53*B79</f>
        <v>71528266.914000005</v>
      </c>
      <c r="E79" s="11">
        <f>C79-D79</f>
        <v>93471733.085999995</v>
      </c>
      <c r="F79" s="11">
        <f>C79*SUM($F$56:$F$62)</f>
        <v>44550000</v>
      </c>
      <c r="G79" s="11">
        <f>E79-F79</f>
        <v>48921733.085999995</v>
      </c>
      <c r="H79" s="11">
        <f>G79-C79*$F$66</f>
        <v>45621733.085999995</v>
      </c>
      <c r="I79" s="11">
        <f>H79-H79*$F$69</f>
        <v>29654126.505899996</v>
      </c>
      <c r="J79" s="2">
        <v>10000000</v>
      </c>
      <c r="K79" s="33">
        <f>I79-J79</f>
        <v>19654126.505899996</v>
      </c>
    </row>
    <row r="80" spans="2:13" ht="15" x14ac:dyDescent="0.25">
      <c r="B80" s="21">
        <v>80</v>
      </c>
      <c r="C80" s="11">
        <f>$J$52*B80</f>
        <v>440000000</v>
      </c>
      <c r="D80" s="11">
        <f>$J$53*B80</f>
        <v>190742045.104</v>
      </c>
      <c r="E80" s="11">
        <f>C80-D80</f>
        <v>249257954.896</v>
      </c>
      <c r="F80" s="11">
        <f>C80*SUM($F$56:$F$62)</f>
        <v>118800000.00000001</v>
      </c>
      <c r="G80" s="11">
        <f>E80-F80</f>
        <v>130457954.89599998</v>
      </c>
      <c r="H80" s="11">
        <f>G80-C80*$F$66</f>
        <v>121657954.89599998</v>
      </c>
      <c r="I80" s="11">
        <f>H80-H80*$F$69</f>
        <v>79077670.682399988</v>
      </c>
      <c r="J80" s="2">
        <v>10000000</v>
      </c>
      <c r="K80" s="33">
        <f>I80-J80</f>
        <v>69077670.682399988</v>
      </c>
    </row>
    <row r="81" spans="2:11" ht="15" x14ac:dyDescent="0.25">
      <c r="B81" s="21">
        <v>100</v>
      </c>
      <c r="C81" s="11">
        <f>$J$52*B81</f>
        <v>550000000</v>
      </c>
      <c r="D81" s="11">
        <f>$J$53*B81</f>
        <v>238427556.38000003</v>
      </c>
      <c r="E81" s="11">
        <f>C81-D81</f>
        <v>311572443.62</v>
      </c>
      <c r="F81" s="11">
        <f>C81*SUM($F$56:$F$62)</f>
        <v>148500000</v>
      </c>
      <c r="G81" s="11">
        <f>E81-F81</f>
        <v>163072443.62</v>
      </c>
      <c r="H81" s="11">
        <f>G81-C81*$F$66</f>
        <v>152072443.62</v>
      </c>
      <c r="I81" s="11">
        <f>H81-H81*$F$69</f>
        <v>98847088.353000015</v>
      </c>
      <c r="J81" s="2">
        <v>10000000</v>
      </c>
      <c r="K81" s="33">
        <f>I81-J81</f>
        <v>88847088.353000015</v>
      </c>
    </row>
    <row r="82" spans="2:11" ht="15" x14ac:dyDescent="0.25">
      <c r="B82" s="21">
        <v>120</v>
      </c>
      <c r="C82" s="11">
        <f>$J$52*B82</f>
        <v>660000000</v>
      </c>
      <c r="D82" s="11">
        <f>$J$53*B82</f>
        <v>286113067.65600002</v>
      </c>
      <c r="E82" s="11">
        <f>C82-D82</f>
        <v>373886932.34399998</v>
      </c>
      <c r="F82" s="11">
        <f>C82*SUM($F$56:$F$62)</f>
        <v>178200000</v>
      </c>
      <c r="G82" s="11">
        <f>E82-F82</f>
        <v>195686932.34399998</v>
      </c>
      <c r="H82" s="11">
        <f>G82-C82*$F$66</f>
        <v>182486932.34399998</v>
      </c>
      <c r="I82" s="11">
        <f>H82-H82*$F$69</f>
        <v>118616506.02359998</v>
      </c>
      <c r="J82" s="2">
        <v>10000000</v>
      </c>
      <c r="K82" s="33">
        <f>I82-J82</f>
        <v>108616506.02359998</v>
      </c>
    </row>
    <row r="83" spans="2:11" ht="15" x14ac:dyDescent="0.25">
      <c r="B83" s="21">
        <v>150</v>
      </c>
      <c r="C83" s="11">
        <f>$J$52*B83</f>
        <v>825000000</v>
      </c>
      <c r="D83" s="11">
        <f>$J$53*B83</f>
        <v>357641334.56999999</v>
      </c>
      <c r="E83" s="11">
        <f>C83-D83</f>
        <v>467358665.43000001</v>
      </c>
      <c r="F83" s="11">
        <f>C83*SUM($F$56:$F$62)</f>
        <v>222750000</v>
      </c>
      <c r="G83" s="11">
        <f>E83-F83</f>
        <v>244608665.43000001</v>
      </c>
      <c r="H83" s="11">
        <f>G83-C83*$F$66</f>
        <v>228108665.43000001</v>
      </c>
      <c r="I83" s="11">
        <f>H83-H83*$F$69</f>
        <v>148270632.52950001</v>
      </c>
      <c r="J83" s="2">
        <v>10000000</v>
      </c>
      <c r="K83" s="33">
        <f>I83-J83</f>
        <v>138270632.52950001</v>
      </c>
    </row>
    <row r="85" spans="2:11" ht="15.75" x14ac:dyDescent="0.25">
      <c r="B85" s="104" t="s">
        <v>89</v>
      </c>
      <c r="C85" s="104"/>
      <c r="D85" s="104"/>
      <c r="E85" s="104"/>
      <c r="F85" s="104"/>
      <c r="G85" s="104"/>
      <c r="H85" s="104"/>
      <c r="I85" s="104"/>
      <c r="J85" s="104"/>
      <c r="K85" s="104"/>
    </row>
    <row r="86" spans="2:11" ht="15" x14ac:dyDescent="0.25">
      <c r="B86" s="32" t="s">
        <v>41</v>
      </c>
      <c r="C86" s="21" t="s">
        <v>42</v>
      </c>
      <c r="D86" s="21" t="s">
        <v>43</v>
      </c>
      <c r="E86" s="21" t="s">
        <v>44</v>
      </c>
      <c r="F86" s="21" t="s">
        <v>45</v>
      </c>
      <c r="G86" s="21" t="s">
        <v>46</v>
      </c>
      <c r="H86" s="21" t="s">
        <v>47</v>
      </c>
      <c r="I86" s="21" t="s">
        <v>35</v>
      </c>
      <c r="J86" s="21" t="s">
        <v>48</v>
      </c>
      <c r="K86" s="21" t="s">
        <v>49</v>
      </c>
    </row>
    <row r="87" spans="2:11" ht="15" x14ac:dyDescent="0.25">
      <c r="B87" s="21">
        <v>30</v>
      </c>
      <c r="C87" s="11">
        <f>$J$52*B87</f>
        <v>165000000</v>
      </c>
      <c r="D87" s="11">
        <f>$K$53*B87</f>
        <v>69595888.231800005</v>
      </c>
      <c r="E87" s="11">
        <f>C87-D87</f>
        <v>95404111.768199995</v>
      </c>
      <c r="F87" s="11">
        <f>C87*SUM($F$56:$F$62)</f>
        <v>44550000</v>
      </c>
      <c r="G87" s="11">
        <f>E87-F87</f>
        <v>50854111.768199995</v>
      </c>
      <c r="H87" s="11">
        <f>G87-C87*$F$66</f>
        <v>47554111.768199995</v>
      </c>
      <c r="I87" s="11">
        <f>H87-H87*$F$69</f>
        <v>30910172.649329998</v>
      </c>
      <c r="J87" s="2">
        <v>10000000</v>
      </c>
      <c r="K87" s="33">
        <f>I87-J87</f>
        <v>20910172.649329998</v>
      </c>
    </row>
    <row r="88" spans="2:11" ht="15" x14ac:dyDescent="0.25">
      <c r="B88" s="21">
        <v>80</v>
      </c>
      <c r="C88" s="11">
        <f>$J$52*B88</f>
        <v>440000000</v>
      </c>
      <c r="D88" s="11">
        <f>$K$53*B88</f>
        <v>185589035.28479999</v>
      </c>
      <c r="E88" s="11">
        <f>C88-D88</f>
        <v>254410964.71520001</v>
      </c>
      <c r="F88" s="11">
        <f>C88*SUM($F$56:$F$62)</f>
        <v>118800000.00000001</v>
      </c>
      <c r="G88" s="11">
        <f>E88-F88</f>
        <v>135610964.71520001</v>
      </c>
      <c r="H88" s="11">
        <f>G88-C88*$F$66</f>
        <v>126810964.71520001</v>
      </c>
      <c r="I88" s="11">
        <f>H88-H88*$F$69</f>
        <v>82427127.064880013</v>
      </c>
      <c r="J88" s="2">
        <v>10000000</v>
      </c>
      <c r="K88" s="33">
        <f>I88-J88</f>
        <v>72427127.064880013</v>
      </c>
    </row>
    <row r="89" spans="2:11" ht="15" x14ac:dyDescent="0.25">
      <c r="B89" s="21">
        <v>100</v>
      </c>
      <c r="C89" s="11">
        <f>$J$52*B89</f>
        <v>550000000</v>
      </c>
      <c r="D89" s="11">
        <f>$K$53*B89</f>
        <v>231986294.10600001</v>
      </c>
      <c r="E89" s="11">
        <f>C89-D89</f>
        <v>318013705.89399999</v>
      </c>
      <c r="F89" s="11">
        <f>C89*SUM($F$56:$F$62)</f>
        <v>148500000</v>
      </c>
      <c r="G89" s="11">
        <f>E89-F89</f>
        <v>169513705.89399999</v>
      </c>
      <c r="H89" s="11">
        <f>G89-C89*$F$66</f>
        <v>158513705.89399999</v>
      </c>
      <c r="I89" s="11">
        <f>H89-H89*$F$69</f>
        <v>103033908.8311</v>
      </c>
      <c r="J89" s="2">
        <v>10000000</v>
      </c>
      <c r="K89" s="33">
        <f>I89-J89</f>
        <v>93033908.831100002</v>
      </c>
    </row>
    <row r="90" spans="2:11" ht="15" x14ac:dyDescent="0.25">
      <c r="B90" s="21">
        <v>120</v>
      </c>
      <c r="C90" s="11">
        <f>$J$52*B90</f>
        <v>660000000</v>
      </c>
      <c r="D90" s="11">
        <f>$K$53*B90</f>
        <v>278383552.92720002</v>
      </c>
      <c r="E90" s="11">
        <f>C90-D90</f>
        <v>381616447.07279998</v>
      </c>
      <c r="F90" s="11">
        <f>C90*SUM($F$56:$F$62)</f>
        <v>178200000</v>
      </c>
      <c r="G90" s="11">
        <f>E90-F90</f>
        <v>203416447.07279998</v>
      </c>
      <c r="H90" s="11">
        <f>G90-C90*$F$66</f>
        <v>190216447.07279998</v>
      </c>
      <c r="I90" s="11">
        <f>H90-H90*$F$69</f>
        <v>123640690.59731999</v>
      </c>
      <c r="J90" s="2">
        <v>10000000</v>
      </c>
      <c r="K90" s="33">
        <f>I90-J90</f>
        <v>113640690.59731999</v>
      </c>
    </row>
    <row r="91" spans="2:11" ht="15" x14ac:dyDescent="0.25">
      <c r="B91" s="21">
        <v>150</v>
      </c>
      <c r="C91" s="11">
        <f>$J$52*B91</f>
        <v>825000000</v>
      </c>
      <c r="D91" s="11">
        <f>$K$53*B91</f>
        <v>347979441.15900004</v>
      </c>
      <c r="E91" s="11">
        <f>C91-D91</f>
        <v>477020558.84099996</v>
      </c>
      <c r="F91" s="11">
        <f>C91*SUM($F$56:$F$62)</f>
        <v>222750000</v>
      </c>
      <c r="G91" s="11">
        <f>E91-F91</f>
        <v>254270558.84099996</v>
      </c>
      <c r="H91" s="11">
        <f>G91-C91*$F$66</f>
        <v>237770558.84099996</v>
      </c>
      <c r="I91" s="11">
        <f>H91-H91*$F$69</f>
        <v>154550863.24664998</v>
      </c>
      <c r="J91" s="2">
        <v>10000000</v>
      </c>
      <c r="K91" s="33">
        <f>I91-J91</f>
        <v>144550863.24664998</v>
      </c>
    </row>
    <row r="93" spans="2:11" ht="15" customHeight="1" x14ac:dyDescent="0.2">
      <c r="B93" s="77" t="s">
        <v>50</v>
      </c>
      <c r="C93" s="77"/>
      <c r="D93" s="77"/>
      <c r="E93" s="77"/>
    </row>
    <row r="95" spans="2:11" x14ac:dyDescent="0.2">
      <c r="B95" s="79" t="s">
        <v>88</v>
      </c>
      <c r="C95" s="79"/>
      <c r="D95" s="79"/>
      <c r="E95" s="79"/>
      <c r="F95" s="2"/>
      <c r="G95" s="2"/>
      <c r="H95" s="28">
        <f>J41</f>
        <v>2384275.5638000001</v>
      </c>
      <c r="I95" s="28">
        <f>K41</f>
        <v>2319862.9410600001</v>
      </c>
    </row>
    <row r="96" spans="2:11" x14ac:dyDescent="0.2">
      <c r="B96" s="77"/>
      <c r="C96" s="77"/>
      <c r="D96" s="77"/>
      <c r="E96" s="77"/>
    </row>
    <row r="97" spans="2:9" x14ac:dyDescent="0.2">
      <c r="B97" s="79" t="s">
        <v>51</v>
      </c>
      <c r="C97" s="79"/>
      <c r="D97" s="79"/>
      <c r="E97" s="79"/>
      <c r="F97" s="2"/>
      <c r="G97" s="2"/>
      <c r="H97" s="4">
        <v>0.27</v>
      </c>
      <c r="I97" s="4">
        <v>0.27</v>
      </c>
    </row>
    <row r="98" spans="2:9" x14ac:dyDescent="0.2">
      <c r="B98" s="79" t="s">
        <v>52</v>
      </c>
      <c r="C98" s="79"/>
      <c r="D98" s="79"/>
      <c r="E98" s="79"/>
      <c r="F98" s="2"/>
      <c r="G98" s="2"/>
      <c r="H98" s="2"/>
      <c r="I98" s="2"/>
    </row>
    <row r="99" spans="2:9" x14ac:dyDescent="0.2">
      <c r="B99" s="79" t="s">
        <v>53</v>
      </c>
      <c r="C99" s="79"/>
      <c r="D99" s="79"/>
      <c r="E99" s="79"/>
      <c r="F99" s="2"/>
      <c r="G99" s="2"/>
      <c r="H99" s="4">
        <v>0.02</v>
      </c>
      <c r="I99" s="4">
        <v>0.02</v>
      </c>
    </row>
    <row r="100" spans="2:9" x14ac:dyDescent="0.2">
      <c r="B100" s="79" t="s">
        <v>54</v>
      </c>
      <c r="C100" s="79"/>
      <c r="D100" s="79"/>
      <c r="E100" s="79"/>
      <c r="F100" s="2"/>
      <c r="G100" s="2"/>
      <c r="H100" s="4">
        <v>0.35</v>
      </c>
      <c r="I100" s="4">
        <v>0.35</v>
      </c>
    </row>
    <row r="101" spans="2:9" x14ac:dyDescent="0.2">
      <c r="B101" s="79" t="s">
        <v>55</v>
      </c>
      <c r="C101" s="79"/>
      <c r="D101" s="79"/>
      <c r="E101" s="79"/>
      <c r="F101" s="2"/>
      <c r="G101" s="2"/>
      <c r="H101" s="2">
        <v>10000000</v>
      </c>
      <c r="I101" s="2">
        <v>10000000</v>
      </c>
    </row>
    <row r="102" spans="2:9" x14ac:dyDescent="0.2">
      <c r="B102" s="79" t="s">
        <v>56</v>
      </c>
      <c r="C102" s="79"/>
      <c r="D102" s="79"/>
      <c r="E102" s="79"/>
      <c r="F102" s="2"/>
      <c r="G102" s="2"/>
      <c r="H102" s="2">
        <v>50</v>
      </c>
      <c r="I102" s="2">
        <v>50</v>
      </c>
    </row>
    <row r="103" spans="2:9" x14ac:dyDescent="0.2">
      <c r="B103" s="79" t="s">
        <v>57</v>
      </c>
      <c r="C103" s="79"/>
      <c r="D103" s="79"/>
      <c r="E103" s="79"/>
      <c r="F103" s="2"/>
      <c r="G103" s="2"/>
      <c r="H103" s="2">
        <f>H101/H102</f>
        <v>200000</v>
      </c>
      <c r="I103" s="2">
        <f>I101/I102</f>
        <v>200000</v>
      </c>
    </row>
    <row r="104" spans="2:9" x14ac:dyDescent="0.2">
      <c r="B104" s="79" t="s">
        <v>58</v>
      </c>
      <c r="C104" s="79"/>
      <c r="D104" s="79"/>
      <c r="E104" s="79"/>
      <c r="F104" s="2"/>
      <c r="G104" s="2"/>
      <c r="H104" s="4">
        <v>0.15</v>
      </c>
      <c r="I104" s="4">
        <v>0.15</v>
      </c>
    </row>
    <row r="105" spans="2:9" x14ac:dyDescent="0.2">
      <c r="B105" s="79" t="s">
        <v>59</v>
      </c>
      <c r="C105" s="79"/>
      <c r="D105" s="79"/>
      <c r="E105" s="79"/>
      <c r="F105" s="2"/>
      <c r="G105" s="2"/>
      <c r="H105" s="3">
        <v>500000</v>
      </c>
      <c r="I105" s="3">
        <v>500000</v>
      </c>
    </row>
    <row r="106" spans="2:9" x14ac:dyDescent="0.2">
      <c r="B106" s="77"/>
      <c r="C106" s="77"/>
      <c r="D106" s="77"/>
      <c r="E106" s="77"/>
    </row>
    <row r="107" spans="2:9" x14ac:dyDescent="0.2">
      <c r="B107" s="77" t="s">
        <v>60</v>
      </c>
      <c r="C107" s="77"/>
      <c r="D107" s="77"/>
      <c r="E107" s="77"/>
    </row>
    <row r="108" spans="2:9" x14ac:dyDescent="0.2">
      <c r="B108" s="77"/>
      <c r="C108" s="77"/>
      <c r="D108" s="77"/>
      <c r="E108" s="77"/>
    </row>
    <row r="109" spans="2:9" x14ac:dyDescent="0.2">
      <c r="B109" s="77" t="s">
        <v>61</v>
      </c>
      <c r="C109" s="77"/>
      <c r="D109" s="77"/>
      <c r="E109" s="77"/>
    </row>
    <row r="110" spans="2:9" x14ac:dyDescent="0.2">
      <c r="B110" s="77"/>
      <c r="C110" s="77"/>
      <c r="D110" s="77"/>
      <c r="E110" s="77"/>
    </row>
    <row r="111" spans="2:9" x14ac:dyDescent="0.2">
      <c r="B111" s="77" t="s">
        <v>62</v>
      </c>
      <c r="C111" s="77"/>
      <c r="D111" s="77"/>
      <c r="E111" s="77"/>
    </row>
    <row r="112" spans="2:9" x14ac:dyDescent="0.2">
      <c r="B112" s="77"/>
      <c r="C112" s="77"/>
      <c r="D112" s="77"/>
      <c r="E112" s="77"/>
    </row>
    <row r="113" spans="2:9" x14ac:dyDescent="0.2">
      <c r="B113" s="79" t="s">
        <v>63</v>
      </c>
      <c r="C113" s="79"/>
      <c r="D113" s="79"/>
      <c r="E113" s="79"/>
      <c r="F113" s="2"/>
      <c r="G113" s="2" t="s">
        <v>64</v>
      </c>
      <c r="H113" s="29">
        <f>((1-H100)*(H95+H103))/((1-H100)*(1-H97-H99)-H104)</f>
        <v>5392549.330561799</v>
      </c>
      <c r="I113" s="29">
        <f>((1-I100)*(I95+I103))/((1-I100)*(1-I97-I99)-I104)</f>
        <v>5258140.9685040135</v>
      </c>
    </row>
    <row r="114" spans="2:9" x14ac:dyDescent="0.2">
      <c r="B114" s="77"/>
      <c r="C114" s="77"/>
      <c r="D114" s="77"/>
      <c r="E114" s="77"/>
    </row>
    <row r="115" spans="2:9" x14ac:dyDescent="0.2">
      <c r="B115" s="77" t="s">
        <v>65</v>
      </c>
      <c r="C115" s="77"/>
      <c r="D115" s="77"/>
      <c r="E115" s="77"/>
    </row>
    <row r="116" spans="2:9" x14ac:dyDescent="0.2">
      <c r="B116" s="77"/>
      <c r="C116" s="77"/>
      <c r="D116" s="77"/>
      <c r="E116" s="77"/>
    </row>
    <row r="117" spans="2:9" x14ac:dyDescent="0.2">
      <c r="B117" s="79" t="s">
        <v>66</v>
      </c>
      <c r="C117" s="79"/>
      <c r="D117" s="79"/>
      <c r="E117" s="79"/>
      <c r="F117" s="2"/>
      <c r="G117" s="2" t="s">
        <v>67</v>
      </c>
      <c r="H117" s="29">
        <f>((H105/(1-H100))+H95+H103)/(1-H97-H99)</f>
        <v>4723248.356381366</v>
      </c>
      <c r="I117" s="29">
        <f>((I105/(1-I100))+I95+I103)/(1-I97-I99)</f>
        <v>4632526.3525222102</v>
      </c>
    </row>
    <row r="118" spans="2:9" x14ac:dyDescent="0.2">
      <c r="B118" s="77"/>
      <c r="C118" s="77"/>
      <c r="D118" s="77"/>
      <c r="E118" s="77"/>
    </row>
    <row r="119" spans="2:9" x14ac:dyDescent="0.2">
      <c r="B119" s="77" t="s">
        <v>68</v>
      </c>
      <c r="C119" s="77"/>
      <c r="D119" s="77"/>
      <c r="E119" s="77"/>
    </row>
    <row r="120" spans="2:9" x14ac:dyDescent="0.2">
      <c r="B120" s="77"/>
      <c r="C120" s="77"/>
      <c r="D120" s="77"/>
      <c r="E120" s="77"/>
    </row>
    <row r="121" spans="2:9" x14ac:dyDescent="0.2">
      <c r="B121" s="79" t="s">
        <v>69</v>
      </c>
      <c r="C121" s="79"/>
      <c r="D121" s="79"/>
      <c r="E121" s="79"/>
      <c r="F121" s="2"/>
      <c r="G121" s="2" t="s">
        <v>70</v>
      </c>
      <c r="H121" s="29">
        <f>(H95+H103)/(1-H97-H99)</f>
        <v>3639824.7377464795</v>
      </c>
      <c r="I121" s="29">
        <f>(I95+I103)/(1-I97-I99)</f>
        <v>3549102.7338873241</v>
      </c>
    </row>
    <row r="122" spans="2:9" x14ac:dyDescent="0.2">
      <c r="B122" s="77"/>
      <c r="C122" s="77"/>
      <c r="D122" s="77"/>
      <c r="E122" s="77"/>
    </row>
    <row r="123" spans="2:9" x14ac:dyDescent="0.2">
      <c r="B123" s="77" t="s">
        <v>71</v>
      </c>
      <c r="C123" s="77"/>
      <c r="D123" s="77"/>
      <c r="E123" s="77"/>
    </row>
    <row r="124" spans="2:9" x14ac:dyDescent="0.2">
      <c r="B124" s="77"/>
      <c r="C124" s="77"/>
      <c r="D124" s="77"/>
      <c r="E124" s="77"/>
    </row>
    <row r="125" spans="2:9" x14ac:dyDescent="0.2">
      <c r="B125" s="77" t="s">
        <v>72</v>
      </c>
      <c r="C125" s="77"/>
      <c r="D125" s="77"/>
      <c r="E125" s="77"/>
    </row>
    <row r="126" spans="2:9" x14ac:dyDescent="0.2">
      <c r="B126" s="77"/>
      <c r="C126" s="77"/>
      <c r="D126" s="77"/>
      <c r="E126" s="77"/>
    </row>
    <row r="127" spans="2:9" x14ac:dyDescent="0.2">
      <c r="B127" s="79" t="s">
        <v>73</v>
      </c>
      <c r="C127" s="79"/>
      <c r="D127" s="79"/>
      <c r="E127" s="79"/>
      <c r="F127" s="2" t="s">
        <v>74</v>
      </c>
      <c r="G127" s="2" t="s">
        <v>64</v>
      </c>
      <c r="H127" s="29">
        <f>(H113*(1-H97-H99)-(H95+H103))*(1-H100)</f>
        <v>808882.3995842702</v>
      </c>
      <c r="I127" s="29">
        <f>(I113*(1-I97-I99)-(I95+I103))*(1-I100)</f>
        <v>788721.14527560223</v>
      </c>
    </row>
    <row r="128" spans="2:9" x14ac:dyDescent="0.2">
      <c r="B128" s="79"/>
      <c r="C128" s="79"/>
      <c r="D128" s="79"/>
      <c r="E128" s="79"/>
      <c r="F128" s="2"/>
      <c r="G128" s="2" t="s">
        <v>67</v>
      </c>
      <c r="H128" s="34">
        <f>(H117*(1-H97-H99)-(H95+H103))*(1-H100)</f>
        <v>500000.00000000017</v>
      </c>
      <c r="I128" s="34">
        <f>(I117*(1-I97-I99)-(I95+I103))*(1-I100)</f>
        <v>499999.99999999988</v>
      </c>
    </row>
    <row r="129" spans="2:10" x14ac:dyDescent="0.2">
      <c r="B129" s="79"/>
      <c r="C129" s="79"/>
      <c r="D129" s="79"/>
      <c r="E129" s="79"/>
      <c r="F129" s="2"/>
      <c r="G129" s="2" t="s">
        <v>70</v>
      </c>
      <c r="H129" s="29">
        <f>(H121*(1-H97-H99)-(H95+H103))*(1-H100)</f>
        <v>0</v>
      </c>
      <c r="I129" s="29">
        <f>(I121*(1-I97-I99)-(I95+I103))*(1-I100)</f>
        <v>0</v>
      </c>
    </row>
    <row r="130" spans="2:10" x14ac:dyDescent="0.2">
      <c r="B130" s="77"/>
      <c r="C130" s="77"/>
      <c r="D130" s="77"/>
      <c r="E130" s="77"/>
    </row>
    <row r="131" spans="2:10" x14ac:dyDescent="0.2">
      <c r="B131" s="77" t="s">
        <v>75</v>
      </c>
      <c r="C131" s="77"/>
      <c r="D131" s="77"/>
      <c r="E131" s="77"/>
    </row>
    <row r="132" spans="2:10" x14ac:dyDescent="0.2">
      <c r="B132" s="77"/>
      <c r="C132" s="77"/>
      <c r="D132" s="77"/>
      <c r="E132" s="77"/>
    </row>
    <row r="133" spans="2:10" x14ac:dyDescent="0.2">
      <c r="B133" s="107" t="s">
        <v>76</v>
      </c>
      <c r="C133" s="108"/>
      <c r="D133" s="109"/>
      <c r="E133" s="2" t="s">
        <v>77</v>
      </c>
      <c r="F133" s="4">
        <v>0.2</v>
      </c>
      <c r="G133" s="2" t="s">
        <v>78</v>
      </c>
      <c r="H133" s="29">
        <f>H113/(1-$F$133)</f>
        <v>6740686.6632022485</v>
      </c>
      <c r="I133" s="29">
        <f>I113/(1-$F$133)</f>
        <v>6572676.2106300164</v>
      </c>
    </row>
    <row r="134" spans="2:10" x14ac:dyDescent="0.2">
      <c r="B134" s="2"/>
      <c r="C134" s="2"/>
      <c r="D134" s="2"/>
      <c r="E134" s="2"/>
      <c r="F134" s="2"/>
      <c r="G134" s="2" t="s">
        <v>79</v>
      </c>
      <c r="H134" s="29">
        <f>H117/(1-$F$133)</f>
        <v>5904060.4454767071</v>
      </c>
      <c r="I134" s="29">
        <f>I117/(1-$F$133)</f>
        <v>5790657.9406527625</v>
      </c>
    </row>
    <row r="135" spans="2:10" x14ac:dyDescent="0.2">
      <c r="B135" s="2"/>
      <c r="C135" s="2"/>
      <c r="D135" s="2"/>
      <c r="E135" s="2"/>
      <c r="F135" s="2"/>
      <c r="G135" s="2" t="s">
        <v>80</v>
      </c>
      <c r="H135" s="29">
        <f>H121/(1-$F$133)</f>
        <v>4549780.9221830992</v>
      </c>
      <c r="I135" s="29">
        <f>I121/(1-$F$133)</f>
        <v>4436378.4173591547</v>
      </c>
    </row>
    <row r="136" spans="2:10" x14ac:dyDescent="0.2">
      <c r="H136" s="31"/>
      <c r="I136" s="31"/>
    </row>
    <row r="137" spans="2:10" x14ac:dyDescent="0.2">
      <c r="B137" s="77" t="s">
        <v>81</v>
      </c>
      <c r="C137" s="77"/>
      <c r="D137" s="77"/>
      <c r="E137" s="77"/>
      <c r="J137" s="31"/>
    </row>
    <row r="138" spans="2:10" x14ac:dyDescent="0.2">
      <c r="B138" s="77"/>
      <c r="C138" s="77"/>
      <c r="D138" s="77"/>
      <c r="E138" s="77"/>
    </row>
    <row r="139" spans="2:10" x14ac:dyDescent="0.2">
      <c r="F139" s="30"/>
      <c r="G139" s="30"/>
      <c r="H139" s="30"/>
      <c r="I139" s="30"/>
    </row>
    <row r="140" spans="2:10" x14ac:dyDescent="0.2">
      <c r="B140" s="79" t="s">
        <v>82</v>
      </c>
      <c r="C140" s="79"/>
      <c r="D140" s="79"/>
      <c r="E140" s="2" t="s">
        <v>5</v>
      </c>
      <c r="F140" s="4">
        <v>0.19</v>
      </c>
      <c r="G140" s="2" t="s">
        <v>83</v>
      </c>
      <c r="H140" s="29">
        <f t="shared" ref="H140:I142" si="4">H133*(1+$F$140)</f>
        <v>8021417.1292106751</v>
      </c>
      <c r="I140" s="29">
        <f t="shared" si="4"/>
        <v>7821484.690649719</v>
      </c>
    </row>
    <row r="141" spans="2:10" x14ac:dyDescent="0.2">
      <c r="F141" s="2"/>
      <c r="G141" s="2" t="s">
        <v>84</v>
      </c>
      <c r="H141" s="29">
        <f t="shared" si="4"/>
        <v>7025831.9301172812</v>
      </c>
      <c r="I141" s="29">
        <f t="shared" si="4"/>
        <v>6890882.9493767871</v>
      </c>
    </row>
    <row r="142" spans="2:10" x14ac:dyDescent="0.2">
      <c r="F142" s="2"/>
      <c r="G142" s="2" t="s">
        <v>85</v>
      </c>
      <c r="H142" s="29">
        <f t="shared" si="4"/>
        <v>5414239.2973978883</v>
      </c>
      <c r="I142" s="29">
        <f t="shared" si="4"/>
        <v>5279290.3166573942</v>
      </c>
    </row>
  </sheetData>
  <mergeCells count="88">
    <mergeCell ref="E36:F37"/>
    <mergeCell ref="B38:F39"/>
    <mergeCell ref="B140:D140"/>
    <mergeCell ref="B54:E54"/>
    <mergeCell ref="B55:E55"/>
    <mergeCell ref="B63:E63"/>
    <mergeCell ref="B64:E64"/>
    <mergeCell ref="B65:E65"/>
    <mergeCell ref="B67:E67"/>
    <mergeCell ref="B66:E66"/>
    <mergeCell ref="B69:E69"/>
    <mergeCell ref="B73:E73"/>
    <mergeCell ref="B74:E74"/>
    <mergeCell ref="B76:E76"/>
    <mergeCell ref="B75:E75"/>
    <mergeCell ref="B137:E137"/>
    <mergeCell ref="B118:E118"/>
    <mergeCell ref="B119:E119"/>
    <mergeCell ref="B120:E120"/>
    <mergeCell ref="B121:E121"/>
    <mergeCell ref="B122:E122"/>
    <mergeCell ref="B123:E123"/>
    <mergeCell ref="B133:D133"/>
    <mergeCell ref="B127:E127"/>
    <mergeCell ref="B128:E128"/>
    <mergeCell ref="B129:E129"/>
    <mergeCell ref="B117:E117"/>
    <mergeCell ref="B106:E106"/>
    <mergeCell ref="B107:E107"/>
    <mergeCell ref="B108:E108"/>
    <mergeCell ref="B109:E109"/>
    <mergeCell ref="B112:E112"/>
    <mergeCell ref="B113:E113"/>
    <mergeCell ref="B114:E114"/>
    <mergeCell ref="B110:E110"/>
    <mergeCell ref="B138:E138"/>
    <mergeCell ref="B52:E52"/>
    <mergeCell ref="B53:E53"/>
    <mergeCell ref="B56:E56"/>
    <mergeCell ref="B57:E57"/>
    <mergeCell ref="B58:E58"/>
    <mergeCell ref="B59:E59"/>
    <mergeCell ref="B130:E130"/>
    <mergeCell ref="B131:E131"/>
    <mergeCell ref="B132:E132"/>
    <mergeCell ref="B124:E124"/>
    <mergeCell ref="B125:E125"/>
    <mergeCell ref="B126:E126"/>
    <mergeCell ref="B115:E115"/>
    <mergeCell ref="B116:E116"/>
    <mergeCell ref="B105:E105"/>
    <mergeCell ref="B96:E96"/>
    <mergeCell ref="B97:E97"/>
    <mergeCell ref="B98:E98"/>
    <mergeCell ref="B99:E99"/>
    <mergeCell ref="B100:E100"/>
    <mergeCell ref="B19:E24"/>
    <mergeCell ref="B101:E101"/>
    <mergeCell ref="B102:E102"/>
    <mergeCell ref="B103:E103"/>
    <mergeCell ref="B104:E104"/>
    <mergeCell ref="B68:E68"/>
    <mergeCell ref="B70:E70"/>
    <mergeCell ref="B71:E71"/>
    <mergeCell ref="B72:E72"/>
    <mergeCell ref="B77:K77"/>
    <mergeCell ref="B85:K85"/>
    <mergeCell ref="B93:E93"/>
    <mergeCell ref="B95:E95"/>
    <mergeCell ref="B25:E30"/>
    <mergeCell ref="F29:F30"/>
    <mergeCell ref="B33:D37"/>
    <mergeCell ref="F23:F24"/>
    <mergeCell ref="B111:E111"/>
    <mergeCell ref="H2:K2"/>
    <mergeCell ref="B60:E60"/>
    <mergeCell ref="B61:E61"/>
    <mergeCell ref="B62:E62"/>
    <mergeCell ref="H4:J4"/>
    <mergeCell ref="B41:F42"/>
    <mergeCell ref="B31:F32"/>
    <mergeCell ref="B49:F50"/>
    <mergeCell ref="B46:F47"/>
    <mergeCell ref="B44:F45"/>
    <mergeCell ref="B6:E11"/>
    <mergeCell ref="F10:F11"/>
    <mergeCell ref="B12:E18"/>
    <mergeCell ref="F17:F18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GrainMoisture</vt:lpstr>
      <vt:lpstr>FlowPressureMonitor</vt:lpstr>
      <vt:lpstr>SensorHumTemp</vt:lpstr>
      <vt:lpstr>4a20mA_Monitor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Manuel Baena Cano</dc:creator>
  <cp:lastModifiedBy>Victor Manuel Baena Cano</cp:lastModifiedBy>
  <dcterms:created xsi:type="dcterms:W3CDTF">2025-09-01T15:22:14Z</dcterms:created>
  <dcterms:modified xsi:type="dcterms:W3CDTF">2026-07-29T20:06:54Z</dcterms:modified>
</cp:coreProperties>
</file>